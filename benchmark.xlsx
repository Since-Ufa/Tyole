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ходы" sheetId="1" r:id="rId5"/>
    <sheet state="visible" name="разность" sheetId="2" r:id="rId6"/>
  </sheets>
  <definedNames/>
  <calcPr/>
</workbook>
</file>

<file path=xl/sharedStrings.xml><?xml version="1.0" encoding="utf-8"?>
<sst xmlns="http://schemas.openxmlformats.org/spreadsheetml/2006/main" count="635" uniqueCount="177">
  <si>
    <t>Cu1</t>
  </si>
  <si>
    <t>BHandHLYP</t>
  </si>
  <si>
    <t>CAM-B3LYP</t>
  </si>
  <si>
    <t>M06-2X</t>
  </si>
  <si>
    <t>PBE0</t>
  </si>
  <si>
    <t>wB97X</t>
  </si>
  <si>
    <t>DLPNO-STEOM-CCSD</t>
  </si>
  <si>
    <t>№</t>
  </si>
  <si>
    <t>Переход</t>
  </si>
  <si>
    <t>wavelength, nm</t>
  </si>
  <si>
    <t>f_osc</t>
  </si>
  <si>
    <t>39 -&gt;  40</t>
  </si>
  <si>
    <t>38 -&gt;  40</t>
  </si>
  <si>
    <t>38 -&gt;  42
39 -&gt;  42</t>
  </si>
  <si>
    <t>38 -&gt;  42</t>
  </si>
  <si>
    <t>39 -&gt;  41</t>
  </si>
  <si>
    <t>39 -&gt;  42</t>
  </si>
  <si>
    <t>36 -&gt;  40</t>
  </si>
  <si>
    <t>38 -&gt;  41
39 -&gt;  42</t>
  </si>
  <si>
    <t>38 -&gt;  42
39 -&gt;  42</t>
  </si>
  <si>
    <t>37 -&gt;  40</t>
  </si>
  <si>
    <t>38 -&gt;  41</t>
  </si>
  <si>
    <t>36 -&gt;  41
37 -&gt;  42</t>
  </si>
  <si>
    <t>37 -&gt;  42</t>
  </si>
  <si>
    <t>36 -&gt;  42
37 -&gt;  41</t>
  </si>
  <si>
    <t>37 -&gt;  41
38 -&gt;  42
39 -&gt;  41</t>
  </si>
  <si>
    <t>36 -&gt;  42</t>
  </si>
  <si>
    <t>36 -&gt;  40
36 -&gt;  42
38 -&gt;  42
39 -&gt;  41</t>
  </si>
  <si>
    <t>37 -&gt;  41</t>
  </si>
  <si>
    <t>34 -&gt;  40</t>
  </si>
  <si>
    <t>36 -&gt;  40
38 -&gt;  42
39 -&gt;  41</t>
  </si>
  <si>
    <t>38 -&gt;  42
39 -&gt;  41</t>
  </si>
  <si>
    <t>35 -&gt;  40</t>
  </si>
  <si>
    <t>38 -&gt;  42
39 -&gt;  41</t>
  </si>
  <si>
    <t>36 -&gt;  41
36 -&gt;  42</t>
  </si>
  <si>
    <t>35 -&gt;  40
37 -&gt;  42</t>
  </si>
  <si>
    <t>36 -&gt;  40
38 -&gt;  42</t>
  </si>
  <si>
    <t>36 -&gt;  41</t>
  </si>
  <si>
    <t>33 -&gt;  40</t>
  </si>
  <si>
    <t>32 -&gt;  40</t>
  </si>
  <si>
    <t>38 -&gt;  46
39 -&gt;  43</t>
  </si>
  <si>
    <t>35 -&gt;  42</t>
  </si>
  <si>
    <t>38 -&gt;  43
39 -&gt;  46</t>
  </si>
  <si>
    <t>34 -&gt;  42</t>
  </si>
  <si>
    <t>39 -&gt;  44</t>
  </si>
  <si>
    <t>39 -&gt;  43</t>
  </si>
  <si>
    <t>34 -&gt;  41</t>
  </si>
  <si>
    <t>38 -&gt;  44</t>
  </si>
  <si>
    <t>35 -&gt;  41</t>
  </si>
  <si>
    <t>Cu2</t>
  </si>
  <si>
    <t>54 -&gt;  55</t>
  </si>
  <si>
    <t>54 -&gt;  57</t>
  </si>
  <si>
    <t>54 -&gt;  56</t>
  </si>
  <si>
    <t>54 -&gt;  58</t>
  </si>
  <si>
    <t>53 -&gt;  55</t>
  </si>
  <si>
    <t>51 -&gt;  55
53 -&gt;  56</t>
  </si>
  <si>
    <t>52 -&gt;  56
53 -&gt;  55</t>
  </si>
  <si>
    <t>51 -&gt;  55</t>
  </si>
  <si>
    <t>52 -&gt;  55
53 -&gt;  56</t>
  </si>
  <si>
    <t>52 -&gt;  55
53 -&gt;  56</t>
  </si>
  <si>
    <t>52 -&gt;  55
53 -&gt;  55</t>
  </si>
  <si>
    <t>51 -&gt;  57
53 -&gt;  56</t>
  </si>
  <si>
    <t>54 -&gt;  59</t>
  </si>
  <si>
    <t>52 -&gt;  55</t>
  </si>
  <si>
    <t>53 -&gt;  56</t>
  </si>
  <si>
    <t>52 -&gt;  57</t>
  </si>
  <si>
    <t>54 -&gt;  60</t>
  </si>
  <si>
    <t>52 -&gt;  56</t>
  </si>
  <si>
    <t>53 -&gt;  55
53 -&gt;  57</t>
  </si>
  <si>
    <t>53 -&gt;  57</t>
  </si>
  <si>
    <t>51 -&gt;  56</t>
  </si>
  <si>
    <t>51 -&gt;  57</t>
  </si>
  <si>
    <t>51 -&gt;  55
51 -&gt;  57</t>
  </si>
  <si>
    <t>Cu3</t>
  </si>
  <si>
    <t>68a -&gt;  69a</t>
  </si>
  <si>
    <t>64 -&gt;  69</t>
  </si>
  <si>
    <t>59a -&gt;  69a</t>
  </si>
  <si>
    <t>61a -&gt;  69a
65a -&gt;  69a</t>
  </si>
  <si>
    <t>68a -&gt;  70a</t>
  </si>
  <si>
    <t>65a -&gt;  69a</t>
  </si>
  <si>
    <t>61a -&gt;  69a</t>
  </si>
  <si>
    <t>68 -&gt;  69</t>
  </si>
  <si>
    <t>62a -&gt;  69a</t>
  </si>
  <si>
    <t>67a -&gt;  69a</t>
  </si>
  <si>
    <t>64a -&gt;  69a</t>
  </si>
  <si>
    <t>64 -&gt;  71
64 -&gt;  73
66 -&gt;  69</t>
  </si>
  <si>
    <t>60a -&gt;  69a</t>
  </si>
  <si>
    <t>68a -&gt;  71a</t>
  </si>
  <si>
    <t>60 -&gt;  69
68 -&gt;  72</t>
  </si>
  <si>
    <t>63a -&gt;  69a
66a -&gt;  69a
68a -&gt;  69a</t>
  </si>
  <si>
    <t>63a -&gt;  69a</t>
  </si>
  <si>
    <t xml:space="preserve">67a -&gt;  69a
68a -&gt;  70a </t>
  </si>
  <si>
    <t>66a -&gt;  69a</t>
  </si>
  <si>
    <t>63a -&gt;  69a
66a -&gt;  69a</t>
  </si>
  <si>
    <t>67a -&gt;  69a
67a -&gt;  71a</t>
  </si>
  <si>
    <t>67a -&gt;  72a</t>
  </si>
  <si>
    <t>67a -&gt;  71a</t>
  </si>
  <si>
    <t>66a -&gt;  69a
67a -&gt;  70a
67a -&gt;  71a</t>
  </si>
  <si>
    <t>59a -&gt;  69a
66a -&gt;  69a</t>
  </si>
  <si>
    <t>68a -&gt;  72a</t>
  </si>
  <si>
    <t>67a -&gt;  70a</t>
  </si>
  <si>
    <t>65a -&gt;  70a</t>
  </si>
  <si>
    <t>56a -&gt;  69a
59a -&gt;  69a</t>
  </si>
  <si>
    <t>64a -&gt;  70a</t>
  </si>
  <si>
    <t>Cu4</t>
  </si>
  <si>
    <t>95 -&gt;  96</t>
  </si>
  <si>
    <t>95 -&gt;  96
95 -&gt;  98</t>
  </si>
  <si>
    <t>95 -&gt;  97</t>
  </si>
  <si>
    <t>95 -&gt;  98</t>
  </si>
  <si>
    <t>95 -&gt; 100</t>
  </si>
  <si>
    <t>95 -&gt;  99</t>
  </si>
  <si>
    <t xml:space="preserve">95 -&gt;  98 </t>
  </si>
  <si>
    <t>95 -&gt; 100
95 -&gt; 101</t>
  </si>
  <si>
    <t>95 -&gt; 101</t>
  </si>
  <si>
    <t>95 -&gt; 101
95 -&gt; 102</t>
  </si>
  <si>
    <t xml:space="preserve">94 -&gt;  96 </t>
  </si>
  <si>
    <t>94 -&gt;  96</t>
  </si>
  <si>
    <t>95 -&gt;  97
95 -&gt;  99</t>
  </si>
  <si>
    <t>95 -&gt; 102</t>
  </si>
  <si>
    <t>94 -&gt;  97</t>
  </si>
  <si>
    <t>93 -&gt;  96</t>
  </si>
  <si>
    <t>92 -&gt;  96</t>
  </si>
  <si>
    <t>95 -&gt; 103</t>
  </si>
  <si>
    <t>93 -&gt;  97</t>
  </si>
  <si>
    <t>93 -&gt;  96
93 -&gt;  97</t>
  </si>
  <si>
    <t>94 -&gt;  98</t>
  </si>
  <si>
    <t>91 -&gt;  97</t>
  </si>
  <si>
    <t>93 -&gt;  97
95 -&gt; 101</t>
  </si>
  <si>
    <t>91 -&gt;  96</t>
  </si>
  <si>
    <t>Cu5</t>
  </si>
  <si>
    <t>122 -&gt; 124</t>
  </si>
  <si>
    <t>122 -&gt; 123</t>
  </si>
  <si>
    <t>122 -&gt; 126</t>
  </si>
  <si>
    <t>122 -&gt; 125</t>
  </si>
  <si>
    <t>121 -&gt; 124</t>
  </si>
  <si>
    <t>122 -&gt; 125
122 -&gt; 127</t>
  </si>
  <si>
    <t>121 -&gt; 123</t>
  </si>
  <si>
    <t>121 -&gt; 124
122 -&gt; 127</t>
  </si>
  <si>
    <t>118 -&gt; 123
120 -&gt; 123</t>
  </si>
  <si>
    <t>122 -&gt; 127</t>
  </si>
  <si>
    <t>120 -&gt; 123</t>
  </si>
  <si>
    <t>121 -&gt; 125</t>
  </si>
  <si>
    <t>122 -&gt; 128</t>
  </si>
  <si>
    <t>120 -&gt; 124</t>
  </si>
  <si>
    <t>119 -&gt; 124
121 -&gt; 125</t>
  </si>
  <si>
    <t>115 -&gt; 123</t>
  </si>
  <si>
    <t>118 -&gt; 123</t>
  </si>
  <si>
    <t>118 -&gt; 124</t>
  </si>
  <si>
    <t>122 -&gt; 130</t>
  </si>
  <si>
    <t>121 -&gt; 126</t>
  </si>
  <si>
    <t>118 -&gt; 124
122 -&gt; 127</t>
  </si>
  <si>
    <t>Разность переходов (CCSD – функционал)^2 в эВ</t>
  </si>
  <si>
    <t>Средне-квадратичная разность переходов 'CCSD – функционал' в эВ</t>
  </si>
  <si>
    <t>(красным выделены переходы, которые не были учтены)</t>
  </si>
  <si>
    <t>CCSD: f_osc</t>
  </si>
  <si>
    <t>Средне-квадратичная разность переходов HOMO-&gt;LUMO 'CCSD – функционал' в эВ</t>
  </si>
  <si>
    <t>Квадрат разности энергии соответствующих переходов 'CCSD – функционал' в эВ</t>
  </si>
  <si>
    <t>переход</t>
  </si>
  <si>
    <t>Cu[SCH3]2</t>
  </si>
  <si>
    <t>36 -&gt;  40, 38 -&gt;  42, 39 -&gt;  41</t>
  </si>
  <si>
    <t>Cu2[SCH3]2</t>
  </si>
  <si>
    <t>Cu3[SCH3]2</t>
  </si>
  <si>
    <t>Cu4[SCH3]3</t>
  </si>
  <si>
    <t>—</t>
  </si>
  <si>
    <t>Cu5[SCH3]4</t>
  </si>
  <si>
    <t>64 -&gt;  71; 64 -&gt;  73; 66 -&gt;  69</t>
  </si>
  <si>
    <t>Энергии соответствующих переходов для DFT функционалов и CCSD в эВ</t>
  </si>
  <si>
    <t>CCSD</t>
  </si>
  <si>
    <t>HOMO -&gt; LUMO</t>
  </si>
  <si>
    <t>HOMO-1 -&gt; LUMO</t>
  </si>
  <si>
    <t>HOMO -&gt; LUMO+2</t>
  </si>
  <si>
    <t>HOMO-3 -&gt; LUMO</t>
  </si>
  <si>
    <t>HOMO -&gt; LUMO+1</t>
  </si>
  <si>
    <t>HOMO -&gt; LUMO+3</t>
  </si>
  <si>
    <t>HOMO -&gt; LUMO+4</t>
  </si>
  <si>
    <t>HOMO -&gt; LUMO+5</t>
  </si>
  <si>
    <t xml:space="preserve">Средне-квадратичная разность переходов HOMO-&gt;LUMO 'CCSD – функционал' в эВ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</si>
</sst>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.000"/>
  </numFmts>
  <fonts count="8">
    <font>
      <sz val="10.0"/>
      <color rgb="FF000000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1" xfId="0" applyAlignment="1" applyFont="1" applyNumberFormat="1">
      <alignment horizontal="center" readingOrder="0" vertical="center"/>
    </xf>
    <xf borderId="0" fillId="0" fontId="2" numFmtId="11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2" fontId="4" numFmtId="164" xfId="0" applyAlignment="1" applyFont="1" applyNumberFormat="1">
      <alignment horizontal="center" readingOrder="0" vertical="center"/>
    </xf>
    <xf borderId="0" fillId="2" fontId="4" numFmtId="1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2" xfId="0" applyAlignment="1" applyFont="1" applyNumberForma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5" numFmtId="166" xfId="0" applyAlignment="1" applyFont="1" applyNumberFormat="1">
      <alignment horizontal="center" readingOrder="0"/>
    </xf>
    <xf borderId="0" fillId="2" fontId="4" numFmtId="165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13.75"/>
    <col customWidth="1" min="19" max="19" width="14.0"/>
  </cols>
  <sheetData>
    <row r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/>
      <c r="B2" s="3" t="s">
        <v>1</v>
      </c>
      <c r="E2" s="3" t="s">
        <v>2</v>
      </c>
      <c r="H2" s="3" t="s">
        <v>3</v>
      </c>
      <c r="K2" s="3" t="s">
        <v>4</v>
      </c>
      <c r="N2" s="3" t="s">
        <v>5</v>
      </c>
      <c r="Q2" s="3" t="s">
        <v>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4" t="s">
        <v>8</v>
      </c>
      <c r="R3" s="4" t="s">
        <v>9</v>
      </c>
      <c r="S3" s="4" t="s">
        <v>10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4">
        <v>1.0</v>
      </c>
      <c r="B4" s="4" t="s">
        <v>11</v>
      </c>
      <c r="C4" s="5">
        <v>262.5</v>
      </c>
      <c r="D4" s="4">
        <v>0.010366469</v>
      </c>
      <c r="E4" s="4" t="s">
        <v>11</v>
      </c>
      <c r="F4" s="5">
        <v>273.9</v>
      </c>
      <c r="G4" s="4">
        <v>0.008684514</v>
      </c>
      <c r="H4" s="4" t="s">
        <v>11</v>
      </c>
      <c r="I4" s="5">
        <v>271.5</v>
      </c>
      <c r="J4" s="4">
        <v>0.014450027</v>
      </c>
      <c r="K4" s="4" t="s">
        <v>11</v>
      </c>
      <c r="L4" s="5">
        <v>289.9</v>
      </c>
      <c r="M4" s="4">
        <v>0.008078613</v>
      </c>
      <c r="N4" s="4" t="s">
        <v>11</v>
      </c>
      <c r="O4" s="5">
        <v>253.0</v>
      </c>
      <c r="P4" s="4">
        <v>0.009221796</v>
      </c>
      <c r="Q4" s="6" t="s">
        <v>11</v>
      </c>
      <c r="R4" s="7">
        <v>285.5</v>
      </c>
      <c r="S4" s="8">
        <v>1.0E-9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4">
        <v>2.0</v>
      </c>
      <c r="B5" s="4" t="s">
        <v>12</v>
      </c>
      <c r="C5" s="5">
        <v>259.1</v>
      </c>
      <c r="D5" s="9">
        <v>0.015053549</v>
      </c>
      <c r="E5" s="4" t="s">
        <v>12</v>
      </c>
      <c r="F5" s="5">
        <v>269.8</v>
      </c>
      <c r="G5" s="4">
        <v>0.012783742</v>
      </c>
      <c r="H5" s="4" t="s">
        <v>12</v>
      </c>
      <c r="I5" s="5">
        <v>267.6</v>
      </c>
      <c r="J5" s="4">
        <v>0.020117917</v>
      </c>
      <c r="K5" s="4" t="s">
        <v>12</v>
      </c>
      <c r="L5" s="5">
        <v>284.4</v>
      </c>
      <c r="M5" s="4">
        <v>0.017645107</v>
      </c>
      <c r="N5" s="4" t="s">
        <v>12</v>
      </c>
      <c r="O5" s="5">
        <v>249.8</v>
      </c>
      <c r="P5" s="4">
        <v>0.010543971</v>
      </c>
      <c r="Q5" s="6" t="s">
        <v>12</v>
      </c>
      <c r="R5" s="7">
        <v>279.7</v>
      </c>
      <c r="S5" s="8">
        <v>1.5E-8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4">
        <v>3.0</v>
      </c>
      <c r="B6" s="4" t="s">
        <v>13</v>
      </c>
      <c r="C6" s="5">
        <v>238.6</v>
      </c>
      <c r="D6" s="9">
        <v>0.014910393</v>
      </c>
      <c r="E6" s="4" t="s">
        <v>14</v>
      </c>
      <c r="F6" s="5">
        <v>248.8</v>
      </c>
      <c r="G6" s="4">
        <v>0.011577237</v>
      </c>
      <c r="H6" s="4" t="s">
        <v>14</v>
      </c>
      <c r="I6" s="5">
        <v>246.5</v>
      </c>
      <c r="J6" s="4">
        <v>0.011328634</v>
      </c>
      <c r="K6" s="4" t="s">
        <v>15</v>
      </c>
      <c r="L6" s="5">
        <v>257.7</v>
      </c>
      <c r="M6" s="4">
        <v>0.016960046</v>
      </c>
      <c r="N6" s="4" t="s">
        <v>16</v>
      </c>
      <c r="O6" s="5">
        <v>237.6</v>
      </c>
      <c r="P6" s="4">
        <v>0.008568402</v>
      </c>
      <c r="Q6" s="6" t="s">
        <v>17</v>
      </c>
      <c r="R6" s="7">
        <v>279.5</v>
      </c>
      <c r="S6" s="8">
        <v>6.0E-9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4">
        <v>4.0</v>
      </c>
      <c r="B7" s="4" t="s">
        <v>13</v>
      </c>
      <c r="C7" s="5">
        <v>238.2</v>
      </c>
      <c r="D7" s="4">
        <v>0.014560598</v>
      </c>
      <c r="E7" s="4" t="s">
        <v>16</v>
      </c>
      <c r="F7" s="5">
        <v>248.4</v>
      </c>
      <c r="G7" s="4">
        <v>0.010630932</v>
      </c>
      <c r="H7" s="4" t="s">
        <v>16</v>
      </c>
      <c r="I7" s="5">
        <v>245.9</v>
      </c>
      <c r="J7" s="4">
        <v>0.007550445</v>
      </c>
      <c r="K7" s="4" t="s">
        <v>18</v>
      </c>
      <c r="L7" s="5">
        <v>257.1</v>
      </c>
      <c r="M7" s="4">
        <v>0.007968171</v>
      </c>
      <c r="N7" s="4" t="s">
        <v>19</v>
      </c>
      <c r="O7" s="5">
        <v>237.2</v>
      </c>
      <c r="P7" s="4">
        <v>0.009704584</v>
      </c>
      <c r="Q7" s="4" t="s">
        <v>11</v>
      </c>
      <c r="R7" s="5">
        <v>277.9</v>
      </c>
      <c r="S7" s="4">
        <v>0.008483392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4">
        <v>5.0</v>
      </c>
      <c r="B8" s="4" t="s">
        <v>20</v>
      </c>
      <c r="C8" s="5">
        <v>229.2</v>
      </c>
      <c r="D8" s="4">
        <v>0.002059979</v>
      </c>
      <c r="E8" s="4" t="s">
        <v>20</v>
      </c>
      <c r="F8" s="5">
        <v>235.2</v>
      </c>
      <c r="G8" s="4">
        <v>0.001525423</v>
      </c>
      <c r="H8" s="4" t="s">
        <v>20</v>
      </c>
      <c r="I8" s="5">
        <v>235.5</v>
      </c>
      <c r="J8" s="4">
        <v>8.81624E-4</v>
      </c>
      <c r="K8" s="4" t="s">
        <v>20</v>
      </c>
      <c r="L8" s="5">
        <v>251.7</v>
      </c>
      <c r="M8" s="4">
        <v>0.004704837</v>
      </c>
      <c r="N8" s="4" t="s">
        <v>20</v>
      </c>
      <c r="O8" s="5">
        <v>220.6</v>
      </c>
      <c r="P8" s="4">
        <v>6.51859E-4</v>
      </c>
      <c r="Q8" s="4" t="s">
        <v>12</v>
      </c>
      <c r="R8" s="5">
        <v>273.0</v>
      </c>
      <c r="S8" s="4">
        <v>0.012526676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4">
        <v>6.0</v>
      </c>
      <c r="B9" s="4" t="s">
        <v>17</v>
      </c>
      <c r="C9" s="5">
        <v>221.0</v>
      </c>
      <c r="D9" s="4">
        <v>0.061051567</v>
      </c>
      <c r="E9" s="4" t="s">
        <v>17</v>
      </c>
      <c r="F9" s="5">
        <v>224.3</v>
      </c>
      <c r="G9" s="4">
        <v>0.036440266</v>
      </c>
      <c r="H9" s="4" t="s">
        <v>17</v>
      </c>
      <c r="I9" s="5">
        <v>229.9</v>
      </c>
      <c r="J9" s="4">
        <v>0.083050665</v>
      </c>
      <c r="K9" s="4" t="s">
        <v>17</v>
      </c>
      <c r="L9" s="5">
        <v>239.0</v>
      </c>
      <c r="M9" s="4">
        <v>0.015951298</v>
      </c>
      <c r="N9" s="4" t="s">
        <v>17</v>
      </c>
      <c r="O9" s="5">
        <v>207.4</v>
      </c>
      <c r="P9" s="4">
        <v>0.044245119</v>
      </c>
      <c r="Q9" s="6" t="s">
        <v>16</v>
      </c>
      <c r="R9" s="7">
        <v>262.4</v>
      </c>
      <c r="S9" s="8">
        <v>4.25E-7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4">
        <v>7.0</v>
      </c>
      <c r="B10" s="4" t="s">
        <v>21</v>
      </c>
      <c r="C10" s="5">
        <v>209.5</v>
      </c>
      <c r="D10" s="4">
        <v>0.003620906</v>
      </c>
      <c r="E10" s="4" t="s">
        <v>21</v>
      </c>
      <c r="F10" s="5">
        <v>217.7</v>
      </c>
      <c r="G10" s="4">
        <v>0.001214996</v>
      </c>
      <c r="H10" s="4" t="s">
        <v>22</v>
      </c>
      <c r="I10" s="5">
        <v>214.1</v>
      </c>
      <c r="J10" s="4">
        <v>0.001867358</v>
      </c>
      <c r="K10" s="4" t="s">
        <v>21</v>
      </c>
      <c r="L10" s="5">
        <v>238.5</v>
      </c>
      <c r="M10" s="4">
        <v>3.50156E-4</v>
      </c>
      <c r="N10" s="4" t="s">
        <v>23</v>
      </c>
      <c r="O10" s="5">
        <v>206.1</v>
      </c>
      <c r="P10" s="4">
        <v>0.004902459</v>
      </c>
      <c r="Q10" s="6" t="s">
        <v>15</v>
      </c>
      <c r="R10" s="7">
        <v>262.0</v>
      </c>
      <c r="S10" s="8">
        <v>5.73E-7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4">
        <v>8.0</v>
      </c>
      <c r="B11" s="4" t="s">
        <v>24</v>
      </c>
      <c r="C11" s="5">
        <v>208.7</v>
      </c>
      <c r="D11" s="9">
        <v>0.007352231</v>
      </c>
      <c r="E11" s="4" t="s">
        <v>25</v>
      </c>
      <c r="F11" s="5">
        <v>216.2</v>
      </c>
      <c r="G11" s="4">
        <v>0.060002925</v>
      </c>
      <c r="H11" s="4" t="s">
        <v>26</v>
      </c>
      <c r="I11" s="5">
        <v>213.2</v>
      </c>
      <c r="J11" s="4">
        <v>0.001162181</v>
      </c>
      <c r="K11" s="4" t="s">
        <v>17</v>
      </c>
      <c r="L11" s="5">
        <v>232.1</v>
      </c>
      <c r="M11" s="4">
        <v>0.12703921</v>
      </c>
      <c r="N11" s="4" t="s">
        <v>27</v>
      </c>
      <c r="O11" s="5">
        <v>204.5</v>
      </c>
      <c r="P11" s="4">
        <v>0.021539246</v>
      </c>
      <c r="Q11" s="4" t="s">
        <v>17</v>
      </c>
      <c r="R11" s="5">
        <v>249.6</v>
      </c>
      <c r="S11" s="4">
        <v>0.007277629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4">
        <v>9.0</v>
      </c>
      <c r="B12" s="4" t="s">
        <v>23</v>
      </c>
      <c r="C12" s="5">
        <v>203.8</v>
      </c>
      <c r="D12" s="9">
        <v>0.001986997</v>
      </c>
      <c r="E12" s="4" t="s">
        <v>23</v>
      </c>
      <c r="F12" s="5">
        <v>211.5</v>
      </c>
      <c r="G12" s="4">
        <v>0.011042985</v>
      </c>
      <c r="H12" s="4" t="s">
        <v>21</v>
      </c>
      <c r="I12" s="5">
        <v>205.1</v>
      </c>
      <c r="J12" s="4">
        <v>4.41309E-4</v>
      </c>
      <c r="K12" s="4" t="s">
        <v>28</v>
      </c>
      <c r="L12" s="5">
        <v>225.1</v>
      </c>
      <c r="M12" s="4">
        <v>0.117289351</v>
      </c>
      <c r="N12" s="4" t="s">
        <v>29</v>
      </c>
      <c r="O12" s="5">
        <v>202.6</v>
      </c>
      <c r="P12" s="4">
        <v>7.62864E-4</v>
      </c>
      <c r="Q12" s="4" t="s">
        <v>30</v>
      </c>
      <c r="R12" s="5">
        <v>249.3</v>
      </c>
      <c r="S12" s="4">
        <v>0.008653048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4">
        <v>10.0</v>
      </c>
      <c r="B13" s="4" t="s">
        <v>31</v>
      </c>
      <c r="C13" s="5">
        <v>200.5</v>
      </c>
      <c r="D13" s="9">
        <v>0.301740199</v>
      </c>
      <c r="E13" s="4" t="s">
        <v>32</v>
      </c>
      <c r="F13" s="5">
        <v>209.8</v>
      </c>
      <c r="G13" s="4">
        <v>0.001390237</v>
      </c>
      <c r="H13" s="4" t="s">
        <v>33</v>
      </c>
      <c r="I13" s="5">
        <v>202.3</v>
      </c>
      <c r="J13" s="4">
        <v>0.306176171</v>
      </c>
      <c r="K13" s="4" t="s">
        <v>23</v>
      </c>
      <c r="L13" s="5">
        <v>222.3</v>
      </c>
      <c r="M13" s="4">
        <v>0.018253425</v>
      </c>
      <c r="N13" s="4" t="s">
        <v>32</v>
      </c>
      <c r="O13" s="5">
        <v>202.5</v>
      </c>
      <c r="P13" s="4">
        <v>0.003121764</v>
      </c>
      <c r="Q13" s="4" t="s">
        <v>17</v>
      </c>
      <c r="R13" s="5">
        <v>248.5</v>
      </c>
      <c r="S13" s="4">
        <v>0.007752046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4">
        <v>11.0</v>
      </c>
      <c r="B14" s="4" t="s">
        <v>34</v>
      </c>
      <c r="C14" s="5">
        <v>191.5</v>
      </c>
      <c r="D14" s="9">
        <v>0.034762589</v>
      </c>
      <c r="E14" s="4" t="s">
        <v>29</v>
      </c>
      <c r="F14" s="5">
        <v>209.8</v>
      </c>
      <c r="G14" s="4">
        <v>3.51308E-4</v>
      </c>
      <c r="H14" s="4" t="s">
        <v>28</v>
      </c>
      <c r="I14" s="5">
        <v>192.5</v>
      </c>
      <c r="J14" s="4">
        <v>0.018567414</v>
      </c>
      <c r="K14" s="4" t="s">
        <v>32</v>
      </c>
      <c r="L14" s="5">
        <v>218.8</v>
      </c>
      <c r="M14" s="4">
        <v>4.65084E-4</v>
      </c>
      <c r="N14" s="4" t="s">
        <v>35</v>
      </c>
      <c r="O14" s="5">
        <v>202.3</v>
      </c>
      <c r="P14" s="4">
        <v>0.007351696</v>
      </c>
      <c r="Q14" s="4"/>
      <c r="R14" s="10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4">
        <v>12.0</v>
      </c>
      <c r="B15" s="4" t="s">
        <v>34</v>
      </c>
      <c r="C15" s="5">
        <v>191.4</v>
      </c>
      <c r="D15" s="9">
        <v>0.034400712</v>
      </c>
      <c r="E15" s="4" t="s">
        <v>28</v>
      </c>
      <c r="F15" s="5">
        <v>207.5</v>
      </c>
      <c r="G15" s="4">
        <v>0.267368544</v>
      </c>
      <c r="H15" s="4" t="s">
        <v>22</v>
      </c>
      <c r="I15" s="5">
        <v>191.9</v>
      </c>
      <c r="J15" s="4">
        <v>0.012238278</v>
      </c>
      <c r="K15" s="4" t="s">
        <v>29</v>
      </c>
      <c r="L15" s="5">
        <v>218.7</v>
      </c>
      <c r="M15" s="4">
        <v>6.99747E-4</v>
      </c>
      <c r="N15" s="4" t="s">
        <v>36</v>
      </c>
      <c r="O15" s="5">
        <v>195.2</v>
      </c>
      <c r="P15" s="4">
        <v>0.343706985</v>
      </c>
      <c r="Q15" s="4"/>
      <c r="R15" s="10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4">
        <v>13.0</v>
      </c>
      <c r="B16" s="4" t="s">
        <v>29</v>
      </c>
      <c r="C16" s="5">
        <v>188.7</v>
      </c>
      <c r="D16" s="9">
        <v>2.25513E-4</v>
      </c>
      <c r="E16" s="4" t="s">
        <v>26</v>
      </c>
      <c r="F16" s="5">
        <v>198.4</v>
      </c>
      <c r="G16" s="4">
        <v>0.053049288</v>
      </c>
      <c r="H16" s="4"/>
      <c r="I16" s="5">
        <v>190.1</v>
      </c>
      <c r="J16" s="4">
        <v>0.004202447</v>
      </c>
      <c r="K16" s="4" t="s">
        <v>37</v>
      </c>
      <c r="L16" s="5">
        <v>212.3</v>
      </c>
      <c r="M16" s="4">
        <v>0.007211061</v>
      </c>
      <c r="N16" s="4"/>
      <c r="O16" s="5">
        <v>190.2</v>
      </c>
      <c r="P16" s="4">
        <v>0.039108734</v>
      </c>
      <c r="Q16" s="4"/>
      <c r="R16" s="10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4">
        <v>14.0</v>
      </c>
      <c r="B17" s="4" t="s">
        <v>38</v>
      </c>
      <c r="C17" s="5">
        <v>188.7</v>
      </c>
      <c r="D17" s="9">
        <v>1.0988E-4</v>
      </c>
      <c r="E17" s="4" t="s">
        <v>37</v>
      </c>
      <c r="F17" s="5">
        <v>198.2</v>
      </c>
      <c r="G17" s="4">
        <v>0.017423655</v>
      </c>
      <c r="H17" s="4"/>
      <c r="I17" s="5">
        <v>189.8</v>
      </c>
      <c r="J17" s="4">
        <v>0.003174896</v>
      </c>
      <c r="K17" s="4" t="s">
        <v>26</v>
      </c>
      <c r="L17" s="5">
        <v>209.1</v>
      </c>
      <c r="M17" s="4">
        <v>0.090273762</v>
      </c>
      <c r="N17" s="4"/>
      <c r="O17" s="5">
        <v>188.3</v>
      </c>
      <c r="P17" s="4">
        <v>0.007959236</v>
      </c>
      <c r="Q17" s="4"/>
      <c r="R17" s="10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4">
        <v>15.0</v>
      </c>
      <c r="B18" s="4" t="s">
        <v>32</v>
      </c>
      <c r="C18" s="5">
        <v>183.7</v>
      </c>
      <c r="D18" s="4">
        <v>0.014326325</v>
      </c>
      <c r="E18" s="4" t="s">
        <v>38</v>
      </c>
      <c r="F18" s="5">
        <v>195.5</v>
      </c>
      <c r="G18" s="4">
        <v>0.011592155</v>
      </c>
      <c r="H18" s="4"/>
      <c r="I18" s="5">
        <v>188.3</v>
      </c>
      <c r="J18" s="4">
        <v>0.013274399</v>
      </c>
      <c r="K18" s="4" t="s">
        <v>38</v>
      </c>
      <c r="L18" s="5">
        <v>203.1</v>
      </c>
      <c r="M18" s="4">
        <v>0.008998243</v>
      </c>
      <c r="N18" s="4"/>
      <c r="O18" s="5">
        <v>187.7</v>
      </c>
      <c r="P18" s="4">
        <v>0.017982891</v>
      </c>
      <c r="Q18" s="4"/>
      <c r="R18" s="10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4">
        <v>16.0</v>
      </c>
      <c r="B19" s="4" t="s">
        <v>39</v>
      </c>
      <c r="C19" s="5">
        <v>183.4</v>
      </c>
      <c r="D19" s="4">
        <v>0.009441859</v>
      </c>
      <c r="E19" s="4" t="s">
        <v>39</v>
      </c>
      <c r="F19" s="5">
        <v>195.1</v>
      </c>
      <c r="G19" s="4">
        <v>0.04389254</v>
      </c>
      <c r="H19" s="4"/>
      <c r="I19" s="5">
        <v>188.2</v>
      </c>
      <c r="J19" s="4">
        <v>0.016806766</v>
      </c>
      <c r="K19" s="4" t="s">
        <v>39</v>
      </c>
      <c r="L19" s="5">
        <v>202.9</v>
      </c>
      <c r="M19" s="4">
        <v>0.011190517</v>
      </c>
      <c r="N19" s="4"/>
      <c r="O19" s="5">
        <v>187.0</v>
      </c>
      <c r="P19" s="4">
        <v>0.018147074</v>
      </c>
      <c r="Q19" s="4"/>
      <c r="R19" s="10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4">
        <v>17.0</v>
      </c>
      <c r="B20" s="4" t="s">
        <v>40</v>
      </c>
      <c r="C20" s="5">
        <v>176.7</v>
      </c>
      <c r="D20" s="4">
        <v>1.94786E-4</v>
      </c>
      <c r="E20" s="4" t="s">
        <v>41</v>
      </c>
      <c r="F20" s="5">
        <v>190.4</v>
      </c>
      <c r="G20" s="4">
        <v>0.00236706</v>
      </c>
      <c r="H20" s="4"/>
      <c r="I20" s="5">
        <v>181.5</v>
      </c>
      <c r="J20" s="4">
        <v>2.62388E-4</v>
      </c>
      <c r="K20" s="4" t="s">
        <v>41</v>
      </c>
      <c r="L20" s="5">
        <v>199.0</v>
      </c>
      <c r="M20" s="4">
        <v>0.001027282</v>
      </c>
      <c r="N20" s="4"/>
      <c r="O20" s="5">
        <v>186.6</v>
      </c>
      <c r="P20" s="4">
        <v>0.001367739</v>
      </c>
      <c r="Q20" s="4"/>
      <c r="R20" s="10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4">
        <v>18.0</v>
      </c>
      <c r="B21" s="4" t="s">
        <v>42</v>
      </c>
      <c r="C21" s="5">
        <v>176.4</v>
      </c>
      <c r="D21" s="4">
        <v>0.011464489</v>
      </c>
      <c r="E21" s="4" t="s">
        <v>43</v>
      </c>
      <c r="F21" s="5">
        <v>190.4</v>
      </c>
      <c r="G21" s="4">
        <v>2.65317E-4</v>
      </c>
      <c r="H21" s="4"/>
      <c r="I21" s="5">
        <v>181.2</v>
      </c>
      <c r="J21" s="4">
        <v>0.005951911</v>
      </c>
      <c r="K21" s="4" t="s">
        <v>43</v>
      </c>
      <c r="L21" s="5">
        <v>198.9</v>
      </c>
      <c r="M21" s="9">
        <v>7.0681E-5</v>
      </c>
      <c r="N21" s="4"/>
      <c r="O21" s="5">
        <v>186.1</v>
      </c>
      <c r="P21" s="4">
        <v>0.127759893</v>
      </c>
      <c r="Q21" s="4"/>
      <c r="R21" s="10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4">
        <v>19.0</v>
      </c>
      <c r="B22" s="4" t="s">
        <v>44</v>
      </c>
      <c r="C22" s="5">
        <v>171.3</v>
      </c>
      <c r="D22" s="4">
        <v>0.010788504</v>
      </c>
      <c r="E22" s="4" t="s">
        <v>45</v>
      </c>
      <c r="F22" s="5">
        <v>185.0</v>
      </c>
      <c r="G22" s="4">
        <v>0.001101765</v>
      </c>
      <c r="H22" s="4"/>
      <c r="I22" s="5">
        <v>172.6</v>
      </c>
      <c r="J22" s="4">
        <v>0.006404353</v>
      </c>
      <c r="K22" s="4" t="s">
        <v>46</v>
      </c>
      <c r="L22" s="5">
        <v>195.0</v>
      </c>
      <c r="M22" s="4">
        <v>0.005705316</v>
      </c>
      <c r="N22" s="4"/>
      <c r="O22" s="5">
        <v>181.1</v>
      </c>
      <c r="P22" s="4">
        <v>0.002615442</v>
      </c>
      <c r="Q22" s="4"/>
      <c r="R22" s="10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4">
        <v>20.0</v>
      </c>
      <c r="B23" s="4" t="s">
        <v>47</v>
      </c>
      <c r="C23" s="5">
        <v>169.8</v>
      </c>
      <c r="D23" s="4">
        <v>0.033628854</v>
      </c>
      <c r="E23" s="4" t="s">
        <v>46</v>
      </c>
      <c r="F23" s="5">
        <v>184.6</v>
      </c>
      <c r="G23" s="4">
        <v>0.017548186</v>
      </c>
      <c r="H23" s="4"/>
      <c r="I23" s="5">
        <v>171.6</v>
      </c>
      <c r="J23" s="4">
        <v>0.01995137</v>
      </c>
      <c r="K23" s="4" t="s">
        <v>48</v>
      </c>
      <c r="L23" s="5">
        <v>194.7</v>
      </c>
      <c r="M23" s="4">
        <v>0.005498449</v>
      </c>
      <c r="N23" s="4"/>
      <c r="O23" s="5">
        <v>180.6</v>
      </c>
      <c r="P23" s="4">
        <v>0.019519245</v>
      </c>
      <c r="Q23" s="4"/>
      <c r="R23" s="10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 t="s">
        <v>49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3"/>
      <c r="B27" s="3" t="s">
        <v>1</v>
      </c>
      <c r="E27" s="3" t="s">
        <v>2</v>
      </c>
      <c r="H27" s="3" t="s">
        <v>3</v>
      </c>
      <c r="K27" s="3" t="s">
        <v>4</v>
      </c>
      <c r="N27" s="3" t="s">
        <v>5</v>
      </c>
      <c r="Q27" s="3" t="s">
        <v>6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4" t="s">
        <v>7</v>
      </c>
      <c r="B28" s="4" t="s">
        <v>8</v>
      </c>
      <c r="C28" s="4" t="s">
        <v>9</v>
      </c>
      <c r="D28" s="4" t="s">
        <v>10</v>
      </c>
      <c r="E28" s="4" t="s">
        <v>8</v>
      </c>
      <c r="F28" s="4" t="s">
        <v>9</v>
      </c>
      <c r="G28" s="4" t="s">
        <v>10</v>
      </c>
      <c r="H28" s="4" t="s">
        <v>8</v>
      </c>
      <c r="I28" s="4" t="s">
        <v>9</v>
      </c>
      <c r="J28" s="4" t="s">
        <v>10</v>
      </c>
      <c r="K28" s="4" t="s">
        <v>8</v>
      </c>
      <c r="L28" s="4" t="s">
        <v>9</v>
      </c>
      <c r="M28" s="4" t="s">
        <v>10</v>
      </c>
      <c r="N28" s="4" t="s">
        <v>8</v>
      </c>
      <c r="O28" s="4" t="s">
        <v>9</v>
      </c>
      <c r="P28" s="4" t="s">
        <v>10</v>
      </c>
      <c r="Q28" s="4" t="s">
        <v>8</v>
      </c>
      <c r="R28" s="4" t="s">
        <v>9</v>
      </c>
      <c r="S28" s="4" t="s">
        <v>10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4">
        <v>1.0</v>
      </c>
      <c r="B29" s="4" t="s">
        <v>50</v>
      </c>
      <c r="C29" s="5">
        <v>388.4</v>
      </c>
      <c r="D29" s="4">
        <v>0.257752009</v>
      </c>
      <c r="E29" s="4" t="s">
        <v>50</v>
      </c>
      <c r="F29" s="5">
        <v>367.5</v>
      </c>
      <c r="G29" s="4">
        <v>0.224575325</v>
      </c>
      <c r="H29" s="4" t="s">
        <v>50</v>
      </c>
      <c r="I29" s="5">
        <v>396.1</v>
      </c>
      <c r="J29" s="4">
        <v>0.407476817</v>
      </c>
      <c r="K29" s="4" t="s">
        <v>50</v>
      </c>
      <c r="L29" s="5">
        <v>416.8</v>
      </c>
      <c r="M29" s="4">
        <v>0.157266768</v>
      </c>
      <c r="N29" s="4" t="s">
        <v>50</v>
      </c>
      <c r="O29" s="5">
        <v>327.6</v>
      </c>
      <c r="P29" s="4">
        <v>0.494113726</v>
      </c>
      <c r="Q29" s="11" t="s">
        <v>51</v>
      </c>
      <c r="R29" s="12">
        <v>425.4</v>
      </c>
      <c r="S29" s="13">
        <v>1.1667E-5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4">
        <v>2.0</v>
      </c>
      <c r="B30" s="4" t="s">
        <v>52</v>
      </c>
      <c r="C30" s="5">
        <v>373.3</v>
      </c>
      <c r="D30" s="9">
        <v>0.027604323</v>
      </c>
      <c r="E30" s="9" t="s">
        <v>52</v>
      </c>
      <c r="F30" s="5">
        <v>354.9</v>
      </c>
      <c r="G30" s="4">
        <v>0.022313331</v>
      </c>
      <c r="H30" s="4" t="s">
        <v>52</v>
      </c>
      <c r="I30" s="5">
        <v>373.4</v>
      </c>
      <c r="J30" s="4">
        <v>0.034535331</v>
      </c>
      <c r="K30" s="4" t="s">
        <v>52</v>
      </c>
      <c r="L30" s="5">
        <v>404.3</v>
      </c>
      <c r="M30" s="4">
        <v>0.019064068</v>
      </c>
      <c r="N30" s="4" t="s">
        <v>51</v>
      </c>
      <c r="O30" s="5">
        <v>317.5</v>
      </c>
      <c r="P30" s="4">
        <v>0.070116562</v>
      </c>
      <c r="Q30" s="11" t="s">
        <v>52</v>
      </c>
      <c r="R30" s="12">
        <v>399.3</v>
      </c>
      <c r="S30" s="13">
        <v>1.466E-6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4">
        <v>3.0</v>
      </c>
      <c r="B31" s="4" t="s">
        <v>51</v>
      </c>
      <c r="C31" s="5">
        <v>340.0</v>
      </c>
      <c r="D31" s="9">
        <v>0.360750383</v>
      </c>
      <c r="E31" s="9" t="s">
        <v>51</v>
      </c>
      <c r="F31" s="5">
        <v>332.9</v>
      </c>
      <c r="G31" s="4">
        <v>0.29522304</v>
      </c>
      <c r="H31" s="4" t="s">
        <v>51</v>
      </c>
      <c r="I31" s="5">
        <v>365.3</v>
      </c>
      <c r="J31" s="4">
        <v>0.232885514</v>
      </c>
      <c r="K31" s="4" t="s">
        <v>51</v>
      </c>
      <c r="L31" s="5">
        <v>348.8</v>
      </c>
      <c r="M31" s="4">
        <v>0.326765632</v>
      </c>
      <c r="N31" s="4" t="s">
        <v>52</v>
      </c>
      <c r="O31" s="5">
        <v>308.4</v>
      </c>
      <c r="P31" s="4">
        <v>0.030294721</v>
      </c>
      <c r="Q31" s="11" t="s">
        <v>50</v>
      </c>
      <c r="R31" s="12">
        <v>383.2</v>
      </c>
      <c r="S31" s="13">
        <v>2.0E-8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4">
        <v>4.0</v>
      </c>
      <c r="B32" s="4" t="s">
        <v>53</v>
      </c>
      <c r="C32" s="5">
        <v>281.1</v>
      </c>
      <c r="D32" s="4">
        <v>0.025334146</v>
      </c>
      <c r="E32" s="4" t="s">
        <v>54</v>
      </c>
      <c r="F32" s="5">
        <v>298.5</v>
      </c>
      <c r="G32" s="9">
        <v>3.1936E-5</v>
      </c>
      <c r="H32" s="4" t="s">
        <v>53</v>
      </c>
      <c r="I32" s="5">
        <v>292.5</v>
      </c>
      <c r="J32" s="4">
        <v>0.035419268</v>
      </c>
      <c r="K32" s="4" t="s">
        <v>54</v>
      </c>
      <c r="L32" s="5">
        <v>322.1</v>
      </c>
      <c r="M32" s="9">
        <v>4.5709E-5</v>
      </c>
      <c r="N32" s="4" t="s">
        <v>53</v>
      </c>
      <c r="O32" s="5">
        <v>279.1</v>
      </c>
      <c r="P32" s="4">
        <v>0.006804709</v>
      </c>
      <c r="Q32" s="6" t="s">
        <v>50</v>
      </c>
      <c r="R32" s="7">
        <v>369.6</v>
      </c>
      <c r="S32" s="6">
        <v>0.444512222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4">
        <v>5.0</v>
      </c>
      <c r="B33" s="4" t="s">
        <v>54</v>
      </c>
      <c r="C33" s="5">
        <v>275.8</v>
      </c>
      <c r="D33" s="9">
        <v>8.0421E-5</v>
      </c>
      <c r="E33" s="4" t="s">
        <v>55</v>
      </c>
      <c r="F33" s="5">
        <v>297.7</v>
      </c>
      <c r="G33" s="9">
        <v>2.3042E-5</v>
      </c>
      <c r="H33" s="4" t="s">
        <v>56</v>
      </c>
      <c r="I33" s="5">
        <v>275.2</v>
      </c>
      <c r="J33" s="4">
        <v>0.008820891</v>
      </c>
      <c r="K33" s="4" t="s">
        <v>57</v>
      </c>
      <c r="L33" s="5">
        <v>320.1</v>
      </c>
      <c r="M33" s="9">
        <v>1.1862E-5</v>
      </c>
      <c r="N33" s="4" t="s">
        <v>53</v>
      </c>
      <c r="O33" s="5">
        <v>278.7</v>
      </c>
      <c r="P33" s="4">
        <v>0.003469848</v>
      </c>
      <c r="Q33" s="6" t="s">
        <v>52</v>
      </c>
      <c r="R33" s="7">
        <v>348.2</v>
      </c>
      <c r="S33" s="6">
        <v>0.043827317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4">
        <v>6.0</v>
      </c>
      <c r="B34" s="4" t="s">
        <v>58</v>
      </c>
      <c r="C34" s="5">
        <v>275.4</v>
      </c>
      <c r="D34" s="4">
        <v>1.94179E-4</v>
      </c>
      <c r="E34" s="4" t="s">
        <v>53</v>
      </c>
      <c r="F34" s="5">
        <v>285.0</v>
      </c>
      <c r="G34" s="4">
        <v>0.006651221</v>
      </c>
      <c r="H34" s="4" t="s">
        <v>59</v>
      </c>
      <c r="I34" s="5">
        <v>275.0</v>
      </c>
      <c r="J34" s="4">
        <v>0.018655398</v>
      </c>
      <c r="K34" s="4" t="s">
        <v>60</v>
      </c>
      <c r="L34" s="5">
        <v>311.9</v>
      </c>
      <c r="M34" s="4">
        <v>0.002395357</v>
      </c>
      <c r="N34" s="4" t="s">
        <v>61</v>
      </c>
      <c r="O34" s="5">
        <v>277.8</v>
      </c>
      <c r="P34" s="4">
        <v>0.001269438</v>
      </c>
      <c r="Q34" s="11" t="s">
        <v>53</v>
      </c>
      <c r="R34" s="12">
        <v>340.4</v>
      </c>
      <c r="S34" s="13">
        <v>1.75E-7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4">
        <v>7.0</v>
      </c>
      <c r="B35" s="4" t="s">
        <v>62</v>
      </c>
      <c r="C35" s="5">
        <v>257.5</v>
      </c>
      <c r="D35" s="4">
        <v>0.045451587</v>
      </c>
      <c r="E35" s="4" t="s">
        <v>63</v>
      </c>
      <c r="F35" s="5">
        <v>276.5</v>
      </c>
      <c r="G35" s="4">
        <v>0.020541575</v>
      </c>
      <c r="H35" s="4" t="s">
        <v>62</v>
      </c>
      <c r="I35" s="5">
        <v>272.5</v>
      </c>
      <c r="J35" s="4">
        <v>0.052008884</v>
      </c>
      <c r="K35" s="4" t="s">
        <v>64</v>
      </c>
      <c r="L35" s="5">
        <v>305.3</v>
      </c>
      <c r="M35" s="4">
        <v>0.016846748</v>
      </c>
      <c r="N35" s="4" t="s">
        <v>65</v>
      </c>
      <c r="O35" s="5">
        <v>263.0</v>
      </c>
      <c r="P35" s="4">
        <v>0.028225286</v>
      </c>
      <c r="Q35" s="6" t="s">
        <v>51</v>
      </c>
      <c r="R35" s="7">
        <v>334.7</v>
      </c>
      <c r="S35" s="6">
        <v>0.308715031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4">
        <v>8.0</v>
      </c>
      <c r="B36" s="4" t="s">
        <v>66</v>
      </c>
      <c r="C36" s="5">
        <v>256.8</v>
      </c>
      <c r="D36" s="9">
        <v>0.101856356</v>
      </c>
      <c r="E36" s="9" t="s">
        <v>67</v>
      </c>
      <c r="F36" s="5">
        <v>273.4</v>
      </c>
      <c r="G36" s="4">
        <v>0.022586829</v>
      </c>
      <c r="H36" s="4" t="s">
        <v>66</v>
      </c>
      <c r="I36" s="5">
        <v>272.1</v>
      </c>
      <c r="J36" s="4">
        <v>0.091926844</v>
      </c>
      <c r="K36" s="4" t="s">
        <v>53</v>
      </c>
      <c r="L36" s="5">
        <v>296.1</v>
      </c>
      <c r="M36" s="4">
        <v>0.011276842</v>
      </c>
      <c r="N36" s="4" t="s">
        <v>68</v>
      </c>
      <c r="O36" s="5">
        <v>259.5</v>
      </c>
      <c r="P36" s="4">
        <v>0.003597721</v>
      </c>
      <c r="Q36" s="11" t="s">
        <v>62</v>
      </c>
      <c r="R36" s="12">
        <v>287.8</v>
      </c>
      <c r="S36" s="13">
        <v>3.67E-7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4">
        <v>9.0</v>
      </c>
      <c r="B37" s="4" t="s">
        <v>57</v>
      </c>
      <c r="C37" s="5">
        <v>253.8</v>
      </c>
      <c r="D37" s="9">
        <v>0.022576138</v>
      </c>
      <c r="E37" s="9" t="s">
        <v>69</v>
      </c>
      <c r="F37" s="5">
        <v>269.4</v>
      </c>
      <c r="G37" s="4">
        <v>0.006947034</v>
      </c>
      <c r="H37" s="4" t="s">
        <v>69</v>
      </c>
      <c r="I37" s="5">
        <v>249.7</v>
      </c>
      <c r="J37" s="4">
        <v>0.042185423</v>
      </c>
      <c r="K37" s="4" t="s">
        <v>57</v>
      </c>
      <c r="L37" s="5">
        <v>290.3</v>
      </c>
      <c r="M37" s="4">
        <v>0.046579103</v>
      </c>
      <c r="N37" s="4" t="s">
        <v>67</v>
      </c>
      <c r="O37" s="5">
        <v>257.0</v>
      </c>
      <c r="P37" s="4">
        <v>0.029520598</v>
      </c>
      <c r="Q37" s="6" t="s">
        <v>53</v>
      </c>
      <c r="R37" s="7">
        <v>275.7</v>
      </c>
      <c r="S37" s="6">
        <v>0.028367392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4">
        <v>10.0</v>
      </c>
      <c r="B38" s="4" t="s">
        <v>70</v>
      </c>
      <c r="C38" s="5">
        <v>251.4</v>
      </c>
      <c r="D38" s="9">
        <v>0.030850996</v>
      </c>
      <c r="E38" s="9" t="s">
        <v>71</v>
      </c>
      <c r="F38" s="5">
        <v>264.3</v>
      </c>
      <c r="G38" s="4">
        <v>0.005872936</v>
      </c>
      <c r="H38" s="4" t="s">
        <v>57</v>
      </c>
      <c r="I38" s="5">
        <v>248.2</v>
      </c>
      <c r="J38" s="4">
        <v>0.007127692</v>
      </c>
      <c r="K38" s="4" t="s">
        <v>70</v>
      </c>
      <c r="L38" s="5">
        <v>289.9</v>
      </c>
      <c r="M38" s="4">
        <v>0.013678377</v>
      </c>
      <c r="N38" s="4" t="s">
        <v>72</v>
      </c>
      <c r="O38" s="5">
        <v>254.3</v>
      </c>
      <c r="P38" s="4">
        <v>0.025213781</v>
      </c>
      <c r="Q38" s="6" t="s">
        <v>62</v>
      </c>
      <c r="R38" s="7">
        <v>255.3</v>
      </c>
      <c r="S38" s="6">
        <v>0.006322222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4">
        <v>11.0</v>
      </c>
      <c r="B39" s="4" t="s">
        <v>69</v>
      </c>
      <c r="C39" s="5">
        <v>242.9</v>
      </c>
      <c r="D39" s="9">
        <v>0.029728209</v>
      </c>
      <c r="E39" s="9" t="s">
        <v>65</v>
      </c>
      <c r="F39" s="5">
        <v>261.1</v>
      </c>
      <c r="G39" s="4">
        <v>0.013300068</v>
      </c>
      <c r="H39" s="4" t="s">
        <v>65</v>
      </c>
      <c r="I39" s="5">
        <v>248.0</v>
      </c>
      <c r="J39" s="4">
        <v>0.033440879</v>
      </c>
      <c r="K39" s="4" t="s">
        <v>65</v>
      </c>
      <c r="L39" s="5">
        <v>284.3</v>
      </c>
      <c r="M39" s="4">
        <v>0.00731109</v>
      </c>
      <c r="N39" s="4" t="s">
        <v>62</v>
      </c>
      <c r="O39" s="5">
        <v>249.6</v>
      </c>
      <c r="P39" s="4">
        <v>0.00636552</v>
      </c>
      <c r="Q39" s="2"/>
      <c r="R39" s="10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4">
        <v>12.0</v>
      </c>
      <c r="B40" s="4" t="s">
        <v>65</v>
      </c>
      <c r="C40" s="5">
        <v>240.3</v>
      </c>
      <c r="D40" s="9">
        <v>0.021635956</v>
      </c>
      <c r="E40" s="9" t="s">
        <v>62</v>
      </c>
      <c r="F40" s="5">
        <v>258.5</v>
      </c>
      <c r="G40" s="4">
        <v>0.017703755</v>
      </c>
      <c r="H40" s="4" t="s">
        <v>70</v>
      </c>
      <c r="I40" s="5">
        <v>245.9</v>
      </c>
      <c r="J40" s="4">
        <v>0.015292715</v>
      </c>
      <c r="K40" s="4" t="s">
        <v>71</v>
      </c>
      <c r="L40" s="5">
        <v>277.9</v>
      </c>
      <c r="M40" s="4">
        <v>0.025406223</v>
      </c>
      <c r="N40" s="4" t="s">
        <v>62</v>
      </c>
      <c r="O40" s="5">
        <v>248.6</v>
      </c>
      <c r="P40" s="4">
        <v>6.98894E-4</v>
      </c>
      <c r="Q40" s="2"/>
      <c r="R40" s="10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 t="s">
        <v>73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3"/>
      <c r="B44" s="3" t="s">
        <v>1</v>
      </c>
      <c r="E44" s="3" t="s">
        <v>2</v>
      </c>
      <c r="H44" s="3" t="s">
        <v>3</v>
      </c>
      <c r="K44" s="3" t="s">
        <v>4</v>
      </c>
      <c r="N44" s="3" t="s">
        <v>5</v>
      </c>
      <c r="Q44" s="3" t="s">
        <v>6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4" t="s">
        <v>7</v>
      </c>
      <c r="B45" s="4" t="s">
        <v>8</v>
      </c>
      <c r="C45" s="4" t="s">
        <v>9</v>
      </c>
      <c r="D45" s="4" t="s">
        <v>10</v>
      </c>
      <c r="E45" s="4" t="s">
        <v>8</v>
      </c>
      <c r="F45" s="4" t="s">
        <v>9</v>
      </c>
      <c r="G45" s="4" t="s">
        <v>10</v>
      </c>
      <c r="H45" s="4" t="s">
        <v>8</v>
      </c>
      <c r="I45" s="4" t="s">
        <v>9</v>
      </c>
      <c r="J45" s="4" t="s">
        <v>10</v>
      </c>
      <c r="K45" s="4" t="s">
        <v>8</v>
      </c>
      <c r="L45" s="4" t="s">
        <v>9</v>
      </c>
      <c r="M45" s="4" t="s">
        <v>10</v>
      </c>
      <c r="N45" s="4" t="s">
        <v>8</v>
      </c>
      <c r="O45" s="4" t="s">
        <v>9</v>
      </c>
      <c r="P45" s="4" t="s">
        <v>10</v>
      </c>
      <c r="Q45" s="4" t="s">
        <v>8</v>
      </c>
      <c r="R45" s="4" t="s">
        <v>9</v>
      </c>
      <c r="S45" s="4" t="s">
        <v>10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4">
        <v>1.0</v>
      </c>
      <c r="B46" s="4" t="s">
        <v>74</v>
      </c>
      <c r="C46" s="5">
        <v>358.6</v>
      </c>
      <c r="D46" s="4">
        <v>0.257752009</v>
      </c>
      <c r="E46" s="4" t="s">
        <v>74</v>
      </c>
      <c r="F46" s="5">
        <v>398.8</v>
      </c>
      <c r="G46" s="4">
        <v>0.166967587</v>
      </c>
      <c r="H46" s="4" t="s">
        <v>74</v>
      </c>
      <c r="I46" s="5">
        <v>360.1</v>
      </c>
      <c r="J46" s="4">
        <v>0.522665591</v>
      </c>
      <c r="K46" s="4" t="s">
        <v>74</v>
      </c>
      <c r="L46" s="5">
        <v>391.0</v>
      </c>
      <c r="M46" s="4">
        <v>0.19763185</v>
      </c>
      <c r="N46" s="4" t="s">
        <v>74</v>
      </c>
      <c r="O46" s="5">
        <v>416.3</v>
      </c>
      <c r="P46" s="4">
        <v>0.146487298</v>
      </c>
      <c r="Q46" s="4" t="s">
        <v>75</v>
      </c>
      <c r="R46" s="5">
        <v>443.4</v>
      </c>
      <c r="S46" s="4">
        <v>0.002705358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4">
        <v>2.0</v>
      </c>
      <c r="B47" s="4" t="s">
        <v>76</v>
      </c>
      <c r="C47" s="5">
        <v>289.9</v>
      </c>
      <c r="D47" s="9">
        <v>0.027604323</v>
      </c>
      <c r="E47" s="9" t="s">
        <v>77</v>
      </c>
      <c r="F47" s="5">
        <v>364.0</v>
      </c>
      <c r="G47" s="4">
        <v>3.78782E-4</v>
      </c>
      <c r="H47" s="4" t="s">
        <v>78</v>
      </c>
      <c r="I47" s="5">
        <v>301.9</v>
      </c>
      <c r="J47" s="4">
        <v>0.037339337</v>
      </c>
      <c r="K47" s="4" t="s">
        <v>79</v>
      </c>
      <c r="L47" s="5">
        <v>362.3</v>
      </c>
      <c r="M47" s="4">
        <v>0.005587286</v>
      </c>
      <c r="N47" s="4" t="s">
        <v>80</v>
      </c>
      <c r="O47" s="5">
        <v>380.5</v>
      </c>
      <c r="P47" s="9">
        <v>3.0154E-5</v>
      </c>
      <c r="Q47" s="4" t="s">
        <v>81</v>
      </c>
      <c r="R47" s="5">
        <v>361.6</v>
      </c>
      <c r="S47" s="4">
        <v>0.501873884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4">
        <v>3.0</v>
      </c>
      <c r="B48" s="4" t="s">
        <v>78</v>
      </c>
      <c r="C48" s="5">
        <v>286.2</v>
      </c>
      <c r="D48" s="9">
        <v>0.360750383</v>
      </c>
      <c r="E48" s="9" t="s">
        <v>82</v>
      </c>
      <c r="F48" s="5">
        <v>363.7</v>
      </c>
      <c r="G48" s="9">
        <v>1.0707E-5</v>
      </c>
      <c r="H48" s="4" t="s">
        <v>83</v>
      </c>
      <c r="I48" s="5">
        <v>293.7</v>
      </c>
      <c r="J48" s="4">
        <v>0.005875673</v>
      </c>
      <c r="K48" s="4" t="s">
        <v>84</v>
      </c>
      <c r="L48" s="5">
        <v>352.3</v>
      </c>
      <c r="M48" s="4">
        <v>7.27185E-4</v>
      </c>
      <c r="N48" s="4" t="s">
        <v>82</v>
      </c>
      <c r="O48" s="5">
        <v>380.5</v>
      </c>
      <c r="P48" s="9">
        <v>1.323E-6</v>
      </c>
      <c r="Q48" s="4" t="s">
        <v>85</v>
      </c>
      <c r="R48" s="5">
        <v>276.8</v>
      </c>
      <c r="S48" s="4">
        <v>0.009291543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4">
        <v>4.0</v>
      </c>
      <c r="B49" s="4" t="s">
        <v>86</v>
      </c>
      <c r="C49" s="5">
        <v>279.6</v>
      </c>
      <c r="D49" s="4">
        <v>0.025334146</v>
      </c>
      <c r="E49" s="4" t="s">
        <v>80</v>
      </c>
      <c r="F49" s="5">
        <v>363.5</v>
      </c>
      <c r="G49" s="4">
        <v>1.30789E-4</v>
      </c>
      <c r="H49" s="4" t="s">
        <v>87</v>
      </c>
      <c r="I49" s="5">
        <v>285.9</v>
      </c>
      <c r="J49" s="4">
        <v>0.120321408</v>
      </c>
      <c r="K49" s="4" t="s">
        <v>80</v>
      </c>
      <c r="L49" s="5">
        <v>350.4</v>
      </c>
      <c r="M49" s="9">
        <v>8.3731E-5</v>
      </c>
      <c r="N49" s="4" t="s">
        <v>79</v>
      </c>
      <c r="O49" s="5">
        <v>375.7</v>
      </c>
      <c r="P49" s="4">
        <v>3.11743E-4</v>
      </c>
      <c r="Q49" s="4" t="s">
        <v>85</v>
      </c>
      <c r="R49" s="5">
        <v>244.9</v>
      </c>
      <c r="S49" s="4">
        <v>0.092370818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4">
        <v>5.0</v>
      </c>
      <c r="B50" s="4" t="s">
        <v>80</v>
      </c>
      <c r="C50" s="5">
        <v>279.3</v>
      </c>
      <c r="D50" s="9">
        <v>8.0421E-5</v>
      </c>
      <c r="E50" s="4" t="s">
        <v>84</v>
      </c>
      <c r="F50" s="5">
        <v>358.9</v>
      </c>
      <c r="G50" s="4">
        <v>6.89241E-4</v>
      </c>
      <c r="H50" s="4" t="s">
        <v>77</v>
      </c>
      <c r="I50" s="5">
        <v>275.6</v>
      </c>
      <c r="J50" s="4">
        <v>0.013381125</v>
      </c>
      <c r="K50" s="4" t="s">
        <v>82</v>
      </c>
      <c r="L50" s="5">
        <v>350.3</v>
      </c>
      <c r="M50" s="9">
        <v>4.4829E-5</v>
      </c>
      <c r="N50" s="4" t="s">
        <v>84</v>
      </c>
      <c r="O50" s="5">
        <v>371.8</v>
      </c>
      <c r="P50" s="4">
        <v>6.96315E-4</v>
      </c>
      <c r="Q50" s="4" t="s">
        <v>88</v>
      </c>
      <c r="R50" s="5">
        <v>230.9</v>
      </c>
      <c r="S50" s="4">
        <v>0.020176819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4">
        <v>6.0</v>
      </c>
      <c r="B51" s="4" t="s">
        <v>86</v>
      </c>
      <c r="C51" s="5">
        <v>278.9</v>
      </c>
      <c r="D51" s="4">
        <v>1.94179E-4</v>
      </c>
      <c r="E51" s="4" t="s">
        <v>89</v>
      </c>
      <c r="F51" s="5">
        <v>299.5</v>
      </c>
      <c r="G51" s="4">
        <v>0.296016368</v>
      </c>
      <c r="H51" s="4" t="s">
        <v>86</v>
      </c>
      <c r="I51" s="5">
        <v>271.0</v>
      </c>
      <c r="J51" s="4">
        <v>1.6407E-4</v>
      </c>
      <c r="K51" s="4" t="s">
        <v>83</v>
      </c>
      <c r="L51" s="5">
        <v>346.5</v>
      </c>
      <c r="M51" s="4">
        <v>0.001791916</v>
      </c>
      <c r="N51" s="4" t="s">
        <v>90</v>
      </c>
      <c r="O51" s="5">
        <v>301.2</v>
      </c>
      <c r="P51" s="4">
        <v>0.310752153</v>
      </c>
      <c r="Q51" s="2"/>
      <c r="R51" s="1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4">
        <v>7.0</v>
      </c>
      <c r="B52" s="4" t="s">
        <v>91</v>
      </c>
      <c r="C52" s="5">
        <v>275.8</v>
      </c>
      <c r="D52" s="4">
        <v>0.045451587</v>
      </c>
      <c r="E52" s="4" t="s">
        <v>83</v>
      </c>
      <c r="F52" s="5">
        <v>288.1</v>
      </c>
      <c r="G52" s="4">
        <v>0.012433482</v>
      </c>
      <c r="H52" s="4" t="s">
        <v>76</v>
      </c>
      <c r="I52" s="5">
        <v>270.9</v>
      </c>
      <c r="J52" s="4">
        <v>2.68198E-4</v>
      </c>
      <c r="K52" s="4" t="s">
        <v>92</v>
      </c>
      <c r="L52" s="5">
        <v>318.8</v>
      </c>
      <c r="M52" s="4">
        <v>0.141593</v>
      </c>
      <c r="N52" s="4" t="s">
        <v>78</v>
      </c>
      <c r="O52" s="5">
        <v>275.2</v>
      </c>
      <c r="P52" s="4">
        <v>0.059100975</v>
      </c>
      <c r="Q52" s="2"/>
      <c r="R52" s="1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4">
        <v>8.0</v>
      </c>
      <c r="B53" s="4" t="s">
        <v>93</v>
      </c>
      <c r="C53" s="5">
        <v>270.8</v>
      </c>
      <c r="D53" s="9">
        <v>0.101856356</v>
      </c>
      <c r="E53" s="9" t="s">
        <v>78</v>
      </c>
      <c r="F53" s="5">
        <v>280.5</v>
      </c>
      <c r="G53" s="4">
        <v>0.041279771</v>
      </c>
      <c r="H53" s="4" t="s">
        <v>82</v>
      </c>
      <c r="I53" s="5">
        <v>270.8</v>
      </c>
      <c r="J53" s="4">
        <v>9.5561E-4</v>
      </c>
      <c r="K53" s="4" t="s">
        <v>78</v>
      </c>
      <c r="L53" s="5">
        <v>304.9</v>
      </c>
      <c r="M53" s="4">
        <v>0.03015777</v>
      </c>
      <c r="N53" s="4" t="s">
        <v>94</v>
      </c>
      <c r="O53" s="5">
        <v>269.3</v>
      </c>
      <c r="P53" s="4">
        <v>0.009546836</v>
      </c>
      <c r="Q53" s="2"/>
      <c r="R53" s="1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4">
        <v>9.0</v>
      </c>
      <c r="B54" s="4" t="s">
        <v>87</v>
      </c>
      <c r="C54" s="5">
        <v>266.6</v>
      </c>
      <c r="D54" s="9">
        <v>0.022576138</v>
      </c>
      <c r="E54" s="9" t="s">
        <v>78</v>
      </c>
      <c r="F54" s="5">
        <v>273.6</v>
      </c>
      <c r="G54" s="4">
        <v>0.019614319</v>
      </c>
      <c r="H54" s="4" t="s">
        <v>92</v>
      </c>
      <c r="I54" s="5">
        <v>263.7</v>
      </c>
      <c r="J54" s="4">
        <v>0.089713087</v>
      </c>
      <c r="K54" s="4" t="s">
        <v>87</v>
      </c>
      <c r="L54" s="5">
        <v>294.0</v>
      </c>
      <c r="M54" s="4">
        <v>0.071327085</v>
      </c>
      <c r="N54" s="4" t="s">
        <v>87</v>
      </c>
      <c r="O54" s="5">
        <v>266.0</v>
      </c>
      <c r="P54" s="4">
        <v>0.036917849</v>
      </c>
      <c r="Q54" s="2"/>
      <c r="R54" s="1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4">
        <v>10.0</v>
      </c>
      <c r="B55" s="4" t="s">
        <v>95</v>
      </c>
      <c r="C55" s="5">
        <v>252.6</v>
      </c>
      <c r="D55" s="9">
        <v>0.030850996</v>
      </c>
      <c r="E55" s="9" t="s">
        <v>87</v>
      </c>
      <c r="F55" s="5">
        <v>270.0</v>
      </c>
      <c r="G55" s="4">
        <v>0.033435903</v>
      </c>
      <c r="H55" s="4" t="s">
        <v>95</v>
      </c>
      <c r="I55" s="5">
        <v>263.3</v>
      </c>
      <c r="J55" s="4">
        <v>0.026833394</v>
      </c>
      <c r="K55" s="4" t="s">
        <v>96</v>
      </c>
      <c r="L55" s="5">
        <v>290.2</v>
      </c>
      <c r="M55" s="4">
        <v>0.029096749</v>
      </c>
      <c r="N55" s="4" t="s">
        <v>97</v>
      </c>
      <c r="O55" s="5">
        <v>260.2</v>
      </c>
      <c r="P55" s="4">
        <v>0.002644912</v>
      </c>
      <c r="Q55" s="2"/>
      <c r="R55" s="1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4">
        <v>11.0</v>
      </c>
      <c r="B56" s="4" t="s">
        <v>98</v>
      </c>
      <c r="C56" s="5">
        <v>247.6</v>
      </c>
      <c r="D56" s="9">
        <v>0.029728209</v>
      </c>
      <c r="E56" s="9" t="s">
        <v>95</v>
      </c>
      <c r="F56" s="5">
        <v>264.6</v>
      </c>
      <c r="G56" s="4">
        <v>0.026716095</v>
      </c>
      <c r="H56" s="4" t="s">
        <v>99</v>
      </c>
      <c r="I56" s="5">
        <v>258.9</v>
      </c>
      <c r="J56" s="4">
        <v>0.002119892</v>
      </c>
      <c r="K56" s="4" t="s">
        <v>100</v>
      </c>
      <c r="L56" s="5">
        <v>288.2</v>
      </c>
      <c r="M56" s="4">
        <v>0.064316023</v>
      </c>
      <c r="N56" s="4" t="s">
        <v>101</v>
      </c>
      <c r="O56" s="5">
        <v>257.5</v>
      </c>
      <c r="P56" s="4">
        <v>0.014898751</v>
      </c>
      <c r="Q56" s="2"/>
      <c r="R56" s="1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4">
        <v>12.0</v>
      </c>
      <c r="B57" s="4" t="s">
        <v>96</v>
      </c>
      <c r="C57" s="5">
        <v>244.3</v>
      </c>
      <c r="D57" s="9">
        <v>0.021635956</v>
      </c>
      <c r="E57" s="9" t="s">
        <v>102</v>
      </c>
      <c r="F57" s="5">
        <v>259.2</v>
      </c>
      <c r="G57" s="4">
        <v>0.016277587</v>
      </c>
      <c r="H57" s="4" t="s">
        <v>96</v>
      </c>
      <c r="I57" s="5">
        <v>252.5</v>
      </c>
      <c r="J57" s="4">
        <v>0.009973516</v>
      </c>
      <c r="K57" s="4" t="s">
        <v>96</v>
      </c>
      <c r="L57" s="5">
        <v>283.0</v>
      </c>
      <c r="M57" s="4">
        <v>0.019430931</v>
      </c>
      <c r="N57" s="4" t="s">
        <v>103</v>
      </c>
      <c r="O57" s="5">
        <v>255.7</v>
      </c>
      <c r="P57" s="4">
        <v>0.007678472</v>
      </c>
      <c r="Q57" s="2"/>
      <c r="R57" s="1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 t="s">
        <v>104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3"/>
      <c r="B61" s="3" t="s">
        <v>1</v>
      </c>
      <c r="E61" s="3" t="s">
        <v>2</v>
      </c>
      <c r="H61" s="3" t="s">
        <v>3</v>
      </c>
      <c r="K61" s="3" t="s">
        <v>4</v>
      </c>
      <c r="N61" s="3" t="s">
        <v>5</v>
      </c>
      <c r="Q61" s="3" t="s">
        <v>6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4" t="s">
        <v>7</v>
      </c>
      <c r="B62" s="4" t="s">
        <v>8</v>
      </c>
      <c r="C62" s="4" t="s">
        <v>9</v>
      </c>
      <c r="D62" s="4" t="s">
        <v>10</v>
      </c>
      <c r="E62" s="4" t="s">
        <v>8</v>
      </c>
      <c r="F62" s="4" t="s">
        <v>9</v>
      </c>
      <c r="G62" s="4" t="s">
        <v>10</v>
      </c>
      <c r="H62" s="4" t="s">
        <v>8</v>
      </c>
      <c r="I62" s="4" t="s">
        <v>9</v>
      </c>
      <c r="J62" s="4" t="s">
        <v>10</v>
      </c>
      <c r="K62" s="4" t="s">
        <v>8</v>
      </c>
      <c r="L62" s="4" t="s">
        <v>9</v>
      </c>
      <c r="M62" s="4" t="s">
        <v>10</v>
      </c>
      <c r="N62" s="4" t="s">
        <v>8</v>
      </c>
      <c r="O62" s="4" t="s">
        <v>9</v>
      </c>
      <c r="P62" s="4" t="s">
        <v>10</v>
      </c>
      <c r="Q62" s="4" t="s">
        <v>8</v>
      </c>
      <c r="R62" s="4" t="s">
        <v>9</v>
      </c>
      <c r="S62" s="4" t="s">
        <v>10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4">
        <v>1.0</v>
      </c>
      <c r="B63" s="4" t="s">
        <v>105</v>
      </c>
      <c r="C63" s="5">
        <v>504.1</v>
      </c>
      <c r="D63" s="4">
        <v>0.03601876</v>
      </c>
      <c r="E63" s="4" t="s">
        <v>105</v>
      </c>
      <c r="F63" s="5">
        <v>493.4</v>
      </c>
      <c r="G63" s="4">
        <v>0.028416429</v>
      </c>
      <c r="H63" s="4" t="s">
        <v>105</v>
      </c>
      <c r="I63" s="5">
        <v>550.1</v>
      </c>
      <c r="J63" s="4">
        <v>0.034188766</v>
      </c>
      <c r="K63" s="4" t="s">
        <v>105</v>
      </c>
      <c r="L63" s="5">
        <v>560.0</v>
      </c>
      <c r="M63" s="4">
        <v>0.02098893</v>
      </c>
      <c r="N63" s="4" t="s">
        <v>105</v>
      </c>
      <c r="O63" s="5">
        <v>454.3</v>
      </c>
      <c r="P63" s="4">
        <v>0.048208026</v>
      </c>
      <c r="Q63" s="4" t="s">
        <v>106</v>
      </c>
      <c r="R63" s="5">
        <v>483.4</v>
      </c>
      <c r="S63" s="4">
        <v>0.061208424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4">
        <v>2.0</v>
      </c>
      <c r="B64" s="4" t="s">
        <v>107</v>
      </c>
      <c r="C64" s="5">
        <v>415.9</v>
      </c>
      <c r="D64" s="9">
        <v>0.230529012</v>
      </c>
      <c r="E64" s="9" t="s">
        <v>107</v>
      </c>
      <c r="F64" s="5">
        <v>424.5</v>
      </c>
      <c r="G64" s="4">
        <v>0.177968435</v>
      </c>
      <c r="H64" s="4" t="s">
        <v>108</v>
      </c>
      <c r="I64" s="5">
        <v>451.5</v>
      </c>
      <c r="J64" s="4">
        <v>0.199594947</v>
      </c>
      <c r="K64" s="4" t="s">
        <v>107</v>
      </c>
      <c r="L64" s="5">
        <v>436.3</v>
      </c>
      <c r="M64" s="4">
        <v>0.16568116</v>
      </c>
      <c r="N64" s="4" t="s">
        <v>107</v>
      </c>
      <c r="O64" s="5">
        <v>424.7</v>
      </c>
      <c r="P64" s="4">
        <v>0.179467435</v>
      </c>
      <c r="Q64" s="4" t="s">
        <v>109</v>
      </c>
      <c r="R64" s="5">
        <v>436.7</v>
      </c>
      <c r="S64" s="4">
        <v>0.177376804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4">
        <v>3.0</v>
      </c>
      <c r="B65" s="4" t="s">
        <v>108</v>
      </c>
      <c r="C65" s="5">
        <v>383.0</v>
      </c>
      <c r="D65" s="9">
        <v>0.038568419</v>
      </c>
      <c r="E65" s="9" t="s">
        <v>110</v>
      </c>
      <c r="F65" s="5">
        <v>372.1</v>
      </c>
      <c r="G65" s="4">
        <v>0.154683704</v>
      </c>
      <c r="H65" s="4" t="s">
        <v>107</v>
      </c>
      <c r="I65" s="5">
        <v>410.7</v>
      </c>
      <c r="J65" s="4">
        <v>0.058484417</v>
      </c>
      <c r="K65" s="4" t="s">
        <v>108</v>
      </c>
      <c r="L65" s="5">
        <v>411.1</v>
      </c>
      <c r="M65" s="4">
        <v>0.021711946</v>
      </c>
      <c r="N65" s="4" t="s">
        <v>110</v>
      </c>
      <c r="O65" s="5">
        <v>360.3</v>
      </c>
      <c r="P65" s="4">
        <v>0.140381946</v>
      </c>
      <c r="Q65" s="4" t="s">
        <v>107</v>
      </c>
      <c r="R65" s="5">
        <v>433.6</v>
      </c>
      <c r="S65" s="4">
        <v>0.181657614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4">
        <v>4.0</v>
      </c>
      <c r="B66" s="4" t="s">
        <v>110</v>
      </c>
      <c r="C66" s="5">
        <v>378.7</v>
      </c>
      <c r="D66" s="4">
        <v>0.217071821</v>
      </c>
      <c r="E66" s="4" t="s">
        <v>111</v>
      </c>
      <c r="F66" s="5">
        <v>362.3</v>
      </c>
      <c r="G66" s="4">
        <v>0.017320042</v>
      </c>
      <c r="H66" s="4" t="s">
        <v>110</v>
      </c>
      <c r="I66" s="5">
        <v>401.9</v>
      </c>
      <c r="J66" s="4">
        <v>0.221873242</v>
      </c>
      <c r="K66" s="4" t="s">
        <v>110</v>
      </c>
      <c r="L66" s="5">
        <v>389.2</v>
      </c>
      <c r="M66" s="4">
        <v>0.131599869</v>
      </c>
      <c r="N66" s="4" t="s">
        <v>108</v>
      </c>
      <c r="O66" s="5">
        <v>319.7</v>
      </c>
      <c r="P66" s="4">
        <v>0.029973348</v>
      </c>
      <c r="Q66" s="4" t="s">
        <v>106</v>
      </c>
      <c r="R66" s="5">
        <v>391.7</v>
      </c>
      <c r="S66" s="4">
        <v>0.072707369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4">
        <v>5.0</v>
      </c>
      <c r="B67" s="4" t="s">
        <v>109</v>
      </c>
      <c r="C67" s="5">
        <v>349.5</v>
      </c>
      <c r="D67" s="9">
        <v>7.7238E-5</v>
      </c>
      <c r="E67" s="4" t="s">
        <v>109</v>
      </c>
      <c r="F67" s="5">
        <v>342.3</v>
      </c>
      <c r="G67" s="4">
        <v>0.002117017</v>
      </c>
      <c r="H67" s="4" t="s">
        <v>112</v>
      </c>
      <c r="I67" s="5">
        <v>372.8</v>
      </c>
      <c r="J67" s="4">
        <v>0.002129753</v>
      </c>
      <c r="K67" s="4" t="s">
        <v>109</v>
      </c>
      <c r="L67" s="5">
        <v>378.8</v>
      </c>
      <c r="M67" s="4">
        <v>0.006577684</v>
      </c>
      <c r="N67" s="4" t="s">
        <v>113</v>
      </c>
      <c r="O67" s="5">
        <v>318.6</v>
      </c>
      <c r="P67" s="4">
        <v>0.001989488</v>
      </c>
      <c r="Q67" s="4" t="s">
        <v>113</v>
      </c>
      <c r="R67" s="5">
        <v>324.3</v>
      </c>
      <c r="S67" s="4">
        <v>0.002081603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4">
        <v>6.0</v>
      </c>
      <c r="B68" s="4" t="s">
        <v>114</v>
      </c>
      <c r="C68" s="5">
        <v>309.3</v>
      </c>
      <c r="D68" s="4">
        <v>0.051980384</v>
      </c>
      <c r="E68" s="4" t="s">
        <v>115</v>
      </c>
      <c r="F68" s="5">
        <v>322.8</v>
      </c>
      <c r="G68" s="4">
        <v>2.43972E-4</v>
      </c>
      <c r="H68" s="4" t="s">
        <v>112</v>
      </c>
      <c r="I68" s="5">
        <v>330.6</v>
      </c>
      <c r="J68" s="4">
        <v>0.041506834</v>
      </c>
      <c r="K68" s="4" t="s">
        <v>116</v>
      </c>
      <c r="L68" s="5">
        <v>355.6</v>
      </c>
      <c r="M68" s="4">
        <v>3.51739E-4</v>
      </c>
      <c r="N68" s="4" t="s">
        <v>116</v>
      </c>
      <c r="O68" s="5">
        <v>313.6</v>
      </c>
      <c r="P68" s="4">
        <v>3.63186E-4</v>
      </c>
      <c r="Q68" s="4" t="s">
        <v>117</v>
      </c>
      <c r="R68" s="5">
        <v>272.5</v>
      </c>
      <c r="S68" s="4">
        <v>0.05876506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4">
        <v>7.0</v>
      </c>
      <c r="B69" s="4" t="s">
        <v>118</v>
      </c>
      <c r="C69" s="5">
        <v>308.7</v>
      </c>
      <c r="D69" s="4">
        <v>0.05155219</v>
      </c>
      <c r="E69" s="4" t="s">
        <v>118</v>
      </c>
      <c r="F69" s="5">
        <v>308.0</v>
      </c>
      <c r="G69" s="4">
        <v>0.031828178</v>
      </c>
      <c r="H69" s="4" t="s">
        <v>118</v>
      </c>
      <c r="I69" s="5">
        <v>323.8</v>
      </c>
      <c r="J69" s="4">
        <v>0.084354733</v>
      </c>
      <c r="K69" s="4" t="s">
        <v>113</v>
      </c>
      <c r="L69" s="5">
        <v>337.8</v>
      </c>
      <c r="M69" s="4">
        <v>0.043537209</v>
      </c>
      <c r="N69" s="4" t="s">
        <v>119</v>
      </c>
      <c r="O69" s="5">
        <v>303.8</v>
      </c>
      <c r="P69" s="4">
        <v>0.001495708</v>
      </c>
      <c r="Q69" s="2"/>
      <c r="R69" s="1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4">
        <v>8.0</v>
      </c>
      <c r="B70" s="4" t="s">
        <v>116</v>
      </c>
      <c r="C70" s="5">
        <v>281.4</v>
      </c>
      <c r="D70" s="9">
        <v>0.001228741</v>
      </c>
      <c r="E70" s="9" t="s">
        <v>119</v>
      </c>
      <c r="F70" s="5">
        <v>304.0</v>
      </c>
      <c r="G70" s="4">
        <v>6.46997E-4</v>
      </c>
      <c r="H70" s="4" t="s">
        <v>116</v>
      </c>
      <c r="I70" s="5">
        <v>284.6</v>
      </c>
      <c r="J70" s="4">
        <v>0.001318177</v>
      </c>
      <c r="K70" s="4" t="s">
        <v>120</v>
      </c>
      <c r="L70" s="5">
        <v>333.4</v>
      </c>
      <c r="M70" s="4">
        <v>0.005201926</v>
      </c>
      <c r="N70" s="4" t="s">
        <v>121</v>
      </c>
      <c r="O70" s="5">
        <v>293.5</v>
      </c>
      <c r="P70" s="4">
        <v>0.004702312</v>
      </c>
      <c r="Q70" s="2"/>
      <c r="R70" s="1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4">
        <v>9.0</v>
      </c>
      <c r="B71" s="4" t="s">
        <v>122</v>
      </c>
      <c r="C71" s="5">
        <v>268.1</v>
      </c>
      <c r="D71" s="9">
        <v>0.010087446</v>
      </c>
      <c r="E71" s="9" t="s">
        <v>120</v>
      </c>
      <c r="F71" s="5">
        <v>300.9</v>
      </c>
      <c r="G71" s="4">
        <v>0.002480419</v>
      </c>
      <c r="H71" s="4" t="s">
        <v>122</v>
      </c>
      <c r="I71" s="5">
        <v>274.5</v>
      </c>
      <c r="J71" s="4">
        <v>0.017241767</v>
      </c>
      <c r="K71" s="4" t="s">
        <v>118</v>
      </c>
      <c r="L71" s="5">
        <v>325.5</v>
      </c>
      <c r="M71" s="4">
        <v>0.011322099</v>
      </c>
      <c r="N71" s="4" t="s">
        <v>123</v>
      </c>
      <c r="O71" s="5">
        <v>292.8</v>
      </c>
      <c r="P71" s="4">
        <v>0.077111794</v>
      </c>
      <c r="Q71" s="2"/>
      <c r="R71" s="1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4">
        <v>10.0</v>
      </c>
      <c r="B72" s="4" t="s">
        <v>120</v>
      </c>
      <c r="C72" s="5">
        <v>264.2</v>
      </c>
      <c r="D72" s="9">
        <v>0.027557397</v>
      </c>
      <c r="E72" s="9" t="s">
        <v>113</v>
      </c>
      <c r="F72" s="5">
        <v>298.9</v>
      </c>
      <c r="G72" s="4">
        <v>0.008134939</v>
      </c>
      <c r="H72" s="4" t="s">
        <v>120</v>
      </c>
      <c r="I72" s="5">
        <v>270.4</v>
      </c>
      <c r="J72" s="4">
        <v>0.015589286</v>
      </c>
      <c r="K72" s="4" t="s">
        <v>121</v>
      </c>
      <c r="L72" s="5">
        <v>322.5</v>
      </c>
      <c r="M72" s="4">
        <v>0.003323514</v>
      </c>
      <c r="N72" s="4" t="s">
        <v>124</v>
      </c>
      <c r="O72" s="5">
        <v>290.2</v>
      </c>
      <c r="P72" s="4">
        <v>0.019638878</v>
      </c>
      <c r="Q72" s="2"/>
      <c r="R72" s="1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4">
        <v>11.0</v>
      </c>
      <c r="B73" s="4" t="s">
        <v>125</v>
      </c>
      <c r="C73" s="5">
        <v>262.5</v>
      </c>
      <c r="D73" s="9">
        <v>0.006065946</v>
      </c>
      <c r="E73" s="9" t="s">
        <v>121</v>
      </c>
      <c r="F73" s="5">
        <v>293.7</v>
      </c>
      <c r="G73" s="4">
        <v>0.017854341</v>
      </c>
      <c r="H73" s="4" t="s">
        <v>121</v>
      </c>
      <c r="I73" s="5">
        <v>262.6</v>
      </c>
      <c r="J73" s="4">
        <v>0.022449125</v>
      </c>
      <c r="K73" s="4" t="s">
        <v>119</v>
      </c>
      <c r="L73" s="5">
        <v>321.4</v>
      </c>
      <c r="M73" s="4">
        <v>0.001240805</v>
      </c>
      <c r="N73" s="4" t="s">
        <v>126</v>
      </c>
      <c r="O73" s="5">
        <v>282.5</v>
      </c>
      <c r="P73" s="4">
        <v>4.4718E-4</v>
      </c>
      <c r="Q73" s="2"/>
      <c r="R73" s="1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4">
        <v>12.0</v>
      </c>
      <c r="B74" s="4" t="s">
        <v>121</v>
      </c>
      <c r="C74" s="5">
        <v>259.3</v>
      </c>
      <c r="D74" s="9">
        <v>0.01122226</v>
      </c>
      <c r="E74" s="9" t="s">
        <v>127</v>
      </c>
      <c r="F74" s="5">
        <v>287.5</v>
      </c>
      <c r="G74" s="4">
        <v>0.071246258</v>
      </c>
      <c r="H74" s="4" t="s">
        <v>125</v>
      </c>
      <c r="I74" s="5">
        <v>261.1</v>
      </c>
      <c r="J74" s="4">
        <v>0.004504609</v>
      </c>
      <c r="K74" s="4" t="s">
        <v>128</v>
      </c>
      <c r="L74" s="5">
        <v>306.9</v>
      </c>
      <c r="M74" s="4">
        <v>0.025658028</v>
      </c>
      <c r="N74" s="4" t="s">
        <v>118</v>
      </c>
      <c r="O74" s="5">
        <v>277.9</v>
      </c>
      <c r="P74" s="4">
        <v>0.025941134</v>
      </c>
      <c r="Q74" s="2"/>
      <c r="R74" s="1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1" t="s">
        <v>129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3"/>
      <c r="B78" s="3" t="s">
        <v>1</v>
      </c>
      <c r="E78" s="3" t="s">
        <v>2</v>
      </c>
      <c r="H78" s="3" t="s">
        <v>3</v>
      </c>
      <c r="K78" s="3" t="s">
        <v>4</v>
      </c>
      <c r="N78" s="3" t="s">
        <v>5</v>
      </c>
      <c r="Q78" s="3" t="s">
        <v>6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4" t="s">
        <v>7</v>
      </c>
      <c r="B79" s="4" t="s">
        <v>8</v>
      </c>
      <c r="C79" s="4" t="s">
        <v>9</v>
      </c>
      <c r="D79" s="4" t="s">
        <v>10</v>
      </c>
      <c r="E79" s="4" t="s">
        <v>8</v>
      </c>
      <c r="F79" s="4" t="s">
        <v>9</v>
      </c>
      <c r="G79" s="4" t="s">
        <v>10</v>
      </c>
      <c r="H79" s="4" t="s">
        <v>8</v>
      </c>
      <c r="I79" s="4" t="s">
        <v>9</v>
      </c>
      <c r="J79" s="4" t="s">
        <v>10</v>
      </c>
      <c r="K79" s="4" t="s">
        <v>8</v>
      </c>
      <c r="L79" s="4" t="s">
        <v>9</v>
      </c>
      <c r="M79" s="4" t="s">
        <v>10</v>
      </c>
      <c r="N79" s="4" t="s">
        <v>8</v>
      </c>
      <c r="O79" s="5" t="s">
        <v>9</v>
      </c>
      <c r="P79" s="4" t="s">
        <v>10</v>
      </c>
      <c r="Q79" s="4" t="s">
        <v>8</v>
      </c>
      <c r="R79" s="4" t="s">
        <v>9</v>
      </c>
      <c r="S79" s="4" t="s">
        <v>10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4">
        <v>1.0</v>
      </c>
      <c r="B80" s="4" t="s">
        <v>130</v>
      </c>
      <c r="C80" s="5">
        <v>504.1</v>
      </c>
      <c r="D80" s="4">
        <v>0.03601876</v>
      </c>
      <c r="E80" s="4" t="s">
        <v>131</v>
      </c>
      <c r="F80" s="5">
        <v>397.9</v>
      </c>
      <c r="G80" s="4">
        <v>0.108552988</v>
      </c>
      <c r="H80" s="4" t="s">
        <v>130</v>
      </c>
      <c r="I80" s="5">
        <v>423.8</v>
      </c>
      <c r="J80" s="4">
        <v>0.043653898</v>
      </c>
      <c r="K80" s="4" t="s">
        <v>130</v>
      </c>
      <c r="L80" s="5">
        <v>433.2</v>
      </c>
      <c r="M80" s="4">
        <v>0.018957012</v>
      </c>
      <c r="N80" s="4" t="s">
        <v>131</v>
      </c>
      <c r="O80" s="5">
        <v>391.2</v>
      </c>
      <c r="P80" s="4">
        <v>0.110276766</v>
      </c>
      <c r="Q80" s="4" t="s">
        <v>132</v>
      </c>
      <c r="R80" s="5">
        <v>432.0</v>
      </c>
      <c r="S80" s="4">
        <v>0.165566352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4">
        <v>2.0</v>
      </c>
      <c r="B81" s="4" t="s">
        <v>131</v>
      </c>
      <c r="C81" s="5">
        <v>415.9</v>
      </c>
      <c r="D81" s="9">
        <v>0.230529012</v>
      </c>
      <c r="E81" s="9" t="s">
        <v>130</v>
      </c>
      <c r="F81" s="5">
        <v>395.9</v>
      </c>
      <c r="G81" s="4">
        <v>0.024496998</v>
      </c>
      <c r="H81" s="4" t="s">
        <v>131</v>
      </c>
      <c r="I81" s="5">
        <v>410.5</v>
      </c>
      <c r="J81" s="4">
        <v>0.174584504</v>
      </c>
      <c r="K81" s="4" t="s">
        <v>131</v>
      </c>
      <c r="L81" s="5">
        <v>416.8</v>
      </c>
      <c r="M81" s="4">
        <v>0.101700433</v>
      </c>
      <c r="N81" s="4" t="s">
        <v>130</v>
      </c>
      <c r="O81" s="5">
        <v>380.6</v>
      </c>
      <c r="P81" s="4">
        <v>0.027535992</v>
      </c>
      <c r="Q81" s="4" t="s">
        <v>131</v>
      </c>
      <c r="R81" s="5">
        <v>377.1</v>
      </c>
      <c r="S81" s="4">
        <v>0.009915595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4">
        <v>3.0</v>
      </c>
      <c r="B82" s="4" t="s">
        <v>133</v>
      </c>
      <c r="C82" s="5">
        <v>383.0</v>
      </c>
      <c r="D82" s="9">
        <v>0.038568419</v>
      </c>
      <c r="E82" s="9" t="s">
        <v>134</v>
      </c>
      <c r="F82" s="5">
        <v>350.6</v>
      </c>
      <c r="G82" s="4">
        <v>0.002385651</v>
      </c>
      <c r="H82" s="4" t="s">
        <v>133</v>
      </c>
      <c r="I82" s="5">
        <v>370.5</v>
      </c>
      <c r="J82" s="9">
        <v>4.1799E-5</v>
      </c>
      <c r="K82" s="4" t="s">
        <v>134</v>
      </c>
      <c r="L82" s="5">
        <v>387.5</v>
      </c>
      <c r="M82" s="9">
        <v>1.406E-5</v>
      </c>
      <c r="N82" s="4" t="s">
        <v>134</v>
      </c>
      <c r="O82" s="5">
        <v>339.5</v>
      </c>
      <c r="P82" s="4">
        <v>0.003716593</v>
      </c>
      <c r="Q82" s="4" t="s">
        <v>135</v>
      </c>
      <c r="R82" s="5">
        <v>351.3</v>
      </c>
      <c r="S82" s="4">
        <v>8.7409E-5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4">
        <v>4.0</v>
      </c>
      <c r="B83" s="4" t="s">
        <v>132</v>
      </c>
      <c r="C83" s="5">
        <v>378.7</v>
      </c>
      <c r="D83" s="4">
        <v>0.217071821</v>
      </c>
      <c r="E83" s="4" t="s">
        <v>136</v>
      </c>
      <c r="F83" s="5">
        <v>346.5</v>
      </c>
      <c r="G83" s="4">
        <v>0.002679952</v>
      </c>
      <c r="H83" s="4" t="s">
        <v>132</v>
      </c>
      <c r="I83" s="5">
        <v>328.8</v>
      </c>
      <c r="J83" s="4">
        <v>0.003286453</v>
      </c>
      <c r="K83" s="4" t="s">
        <v>133</v>
      </c>
      <c r="L83" s="5">
        <v>380.9</v>
      </c>
      <c r="M83" s="4">
        <v>3.72394E-4</v>
      </c>
      <c r="N83" s="4" t="s">
        <v>136</v>
      </c>
      <c r="O83" s="5">
        <v>337.3</v>
      </c>
      <c r="P83" s="4">
        <v>0.002397987</v>
      </c>
      <c r="Q83" s="4" t="s">
        <v>130</v>
      </c>
      <c r="R83" s="5">
        <v>332.7</v>
      </c>
      <c r="S83" s="4">
        <v>0.015463883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4">
        <v>5.0</v>
      </c>
      <c r="B84" s="4" t="s">
        <v>134</v>
      </c>
      <c r="C84" s="5">
        <v>349.5</v>
      </c>
      <c r="D84" s="9">
        <v>7.7238E-5</v>
      </c>
      <c r="E84" s="4" t="s">
        <v>133</v>
      </c>
      <c r="F84" s="5">
        <v>333.7</v>
      </c>
      <c r="G84" s="4">
        <v>6.41336E-4</v>
      </c>
      <c r="H84" s="4" t="s">
        <v>137</v>
      </c>
      <c r="I84" s="5">
        <v>317.5</v>
      </c>
      <c r="J84" s="4">
        <v>0.013166478</v>
      </c>
      <c r="K84" s="4" t="s">
        <v>136</v>
      </c>
      <c r="L84" s="5">
        <v>379.7</v>
      </c>
      <c r="M84" s="4">
        <v>0.002946473</v>
      </c>
      <c r="N84" s="4" t="s">
        <v>138</v>
      </c>
      <c r="O84" s="5">
        <v>307.9</v>
      </c>
      <c r="P84" s="4">
        <v>0.013835042</v>
      </c>
      <c r="Q84" s="4" t="s">
        <v>139</v>
      </c>
      <c r="R84" s="5">
        <v>282.1</v>
      </c>
      <c r="S84" s="4">
        <v>0.031210653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4">
        <v>6.0</v>
      </c>
      <c r="B85" s="4" t="s">
        <v>136</v>
      </c>
      <c r="C85" s="5">
        <v>309.3</v>
      </c>
      <c r="D85" s="4">
        <v>0.051980384</v>
      </c>
      <c r="E85" s="4" t="s">
        <v>140</v>
      </c>
      <c r="F85" s="5">
        <v>309.7</v>
      </c>
      <c r="G85" s="4">
        <v>0.016692309</v>
      </c>
      <c r="H85" s="4" t="s">
        <v>137</v>
      </c>
      <c r="I85" s="5">
        <v>310.7</v>
      </c>
      <c r="J85" s="4">
        <v>0.004097495</v>
      </c>
      <c r="K85" s="4" t="s">
        <v>141</v>
      </c>
      <c r="L85" s="5">
        <v>340.1</v>
      </c>
      <c r="M85" s="4">
        <v>0.013595685</v>
      </c>
      <c r="N85" s="4" t="s">
        <v>133</v>
      </c>
      <c r="O85" s="5">
        <v>307.6</v>
      </c>
      <c r="P85" s="4">
        <v>0.00522813</v>
      </c>
      <c r="Q85" s="4" t="s">
        <v>142</v>
      </c>
      <c r="R85" s="5">
        <v>278.1</v>
      </c>
      <c r="S85" s="4">
        <v>0.359738632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4">
        <v>7.0</v>
      </c>
      <c r="B86" s="4" t="s">
        <v>139</v>
      </c>
      <c r="C86" s="5">
        <v>308.7</v>
      </c>
      <c r="D86" s="4">
        <v>0.05155219</v>
      </c>
      <c r="E86" s="4" t="s">
        <v>141</v>
      </c>
      <c r="F86" s="5">
        <v>307.6</v>
      </c>
      <c r="G86" s="4">
        <v>2.10257E-4</v>
      </c>
      <c r="H86" s="4" t="s">
        <v>142</v>
      </c>
      <c r="I86" s="5">
        <v>298.5</v>
      </c>
      <c r="J86" s="4">
        <v>0.160218271</v>
      </c>
      <c r="K86" s="4" t="s">
        <v>132</v>
      </c>
      <c r="L86" s="5">
        <v>337.6</v>
      </c>
      <c r="M86" s="4">
        <v>0.004674841</v>
      </c>
      <c r="N86" s="4" t="s">
        <v>143</v>
      </c>
      <c r="O86" s="5">
        <v>295.1</v>
      </c>
      <c r="P86" s="4">
        <v>0.003988115</v>
      </c>
      <c r="Q86" s="2"/>
      <c r="R86" s="1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4">
        <v>8.0</v>
      </c>
      <c r="B87" s="4" t="s">
        <v>141</v>
      </c>
      <c r="C87" s="5">
        <v>281.4</v>
      </c>
      <c r="D87" s="9">
        <v>0.001228741</v>
      </c>
      <c r="E87" s="9" t="s">
        <v>143</v>
      </c>
      <c r="F87" s="5">
        <v>302.8</v>
      </c>
      <c r="G87" s="9">
        <v>3.996E-6</v>
      </c>
      <c r="H87" s="4" t="s">
        <v>136</v>
      </c>
      <c r="I87" s="5">
        <v>296.6</v>
      </c>
      <c r="J87" s="4">
        <v>0.050984422</v>
      </c>
      <c r="K87" s="4" t="s">
        <v>143</v>
      </c>
      <c r="L87" s="5">
        <v>328.3</v>
      </c>
      <c r="M87" s="4">
        <v>8.09999E-4</v>
      </c>
      <c r="N87" s="4" t="s">
        <v>144</v>
      </c>
      <c r="O87" s="5">
        <v>294.9</v>
      </c>
      <c r="P87" s="4">
        <v>0.002599277</v>
      </c>
      <c r="Q87" s="2"/>
      <c r="R87" s="1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4">
        <v>9.0</v>
      </c>
      <c r="B88" s="4" t="s">
        <v>142</v>
      </c>
      <c r="C88" s="5">
        <v>268.1</v>
      </c>
      <c r="D88" s="9">
        <v>0.010087446</v>
      </c>
      <c r="E88" s="9" t="s">
        <v>132</v>
      </c>
      <c r="F88" s="5">
        <v>298.8</v>
      </c>
      <c r="G88" s="4">
        <v>0.014152937</v>
      </c>
      <c r="H88" s="4" t="s">
        <v>141</v>
      </c>
      <c r="I88" s="5">
        <v>290.3</v>
      </c>
      <c r="J88" s="4">
        <v>0.005023283</v>
      </c>
      <c r="K88" s="4" t="s">
        <v>140</v>
      </c>
      <c r="L88" s="5">
        <v>325.8</v>
      </c>
      <c r="M88" s="4">
        <v>0.005530132</v>
      </c>
      <c r="N88" s="4" t="s">
        <v>145</v>
      </c>
      <c r="O88" s="5">
        <v>291.2</v>
      </c>
      <c r="P88" s="4">
        <v>0.012531095</v>
      </c>
      <c r="Q88" s="2"/>
      <c r="R88" s="1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4">
        <v>10.0</v>
      </c>
      <c r="B89" s="4" t="s">
        <v>143</v>
      </c>
      <c r="C89" s="5">
        <v>264.2</v>
      </c>
      <c r="D89" s="9">
        <v>0.027557397</v>
      </c>
      <c r="E89" s="9" t="s">
        <v>146</v>
      </c>
      <c r="F89" s="5">
        <v>294.5</v>
      </c>
      <c r="G89" s="4">
        <v>0.002593373</v>
      </c>
      <c r="H89" s="4" t="s">
        <v>143</v>
      </c>
      <c r="I89" s="5">
        <v>271.6</v>
      </c>
      <c r="J89" s="4">
        <v>0.004632686</v>
      </c>
      <c r="K89" s="4" t="s">
        <v>139</v>
      </c>
      <c r="L89" s="5">
        <v>322.0</v>
      </c>
      <c r="M89" s="9">
        <v>7.626E-5</v>
      </c>
      <c r="N89" s="4" t="s">
        <v>146</v>
      </c>
      <c r="O89" s="5">
        <v>289.4</v>
      </c>
      <c r="P89" s="4">
        <v>0.002081665</v>
      </c>
      <c r="Q89" s="2"/>
      <c r="R89" s="1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4">
        <v>11.0</v>
      </c>
      <c r="B90" s="4" t="s">
        <v>140</v>
      </c>
      <c r="C90" s="5">
        <v>262.5</v>
      </c>
      <c r="D90" s="9">
        <v>0.006065946</v>
      </c>
      <c r="E90" s="9" t="s">
        <v>147</v>
      </c>
      <c r="F90" s="5">
        <v>291.9</v>
      </c>
      <c r="G90" s="4">
        <v>0.005323856</v>
      </c>
      <c r="H90" s="4" t="s">
        <v>148</v>
      </c>
      <c r="I90" s="5">
        <v>271.0</v>
      </c>
      <c r="J90" s="4">
        <v>0.05928235</v>
      </c>
      <c r="K90" s="4" t="s">
        <v>146</v>
      </c>
      <c r="L90" s="5">
        <v>315.9</v>
      </c>
      <c r="M90" s="4">
        <v>0.001515775</v>
      </c>
      <c r="N90" s="4" t="s">
        <v>147</v>
      </c>
      <c r="O90" s="5">
        <v>287.5</v>
      </c>
      <c r="P90" s="4">
        <v>0.001705093</v>
      </c>
      <c r="Q90" s="2"/>
      <c r="R90" s="1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4">
        <v>12.0</v>
      </c>
      <c r="B91" s="4" t="s">
        <v>149</v>
      </c>
      <c r="C91" s="5">
        <v>259.3</v>
      </c>
      <c r="D91" s="9">
        <v>0.01122226</v>
      </c>
      <c r="E91" s="9" t="s">
        <v>150</v>
      </c>
      <c r="F91" s="5">
        <v>289.5</v>
      </c>
      <c r="G91" s="4">
        <v>0.020427895</v>
      </c>
      <c r="H91" s="4" t="s">
        <v>149</v>
      </c>
      <c r="I91" s="5">
        <v>264.6</v>
      </c>
      <c r="J91" s="4">
        <v>0.011436504</v>
      </c>
      <c r="K91" s="4" t="s">
        <v>147</v>
      </c>
      <c r="L91" s="5">
        <v>313.7</v>
      </c>
      <c r="M91" s="4">
        <v>1.71713E-4</v>
      </c>
      <c r="N91" s="4" t="s">
        <v>142</v>
      </c>
      <c r="O91" s="5">
        <v>279.1</v>
      </c>
      <c r="P91" s="4">
        <v>0.025188276</v>
      </c>
      <c r="Q91" s="2"/>
      <c r="R91" s="1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</sheetData>
  <mergeCells count="35">
    <mergeCell ref="A1:S1"/>
    <mergeCell ref="B2:D2"/>
    <mergeCell ref="E2:G2"/>
    <mergeCell ref="H2:J2"/>
    <mergeCell ref="K2:M2"/>
    <mergeCell ref="N2:P2"/>
    <mergeCell ref="Q2:S2"/>
    <mergeCell ref="A26:S26"/>
    <mergeCell ref="B27:D27"/>
    <mergeCell ref="E27:G27"/>
    <mergeCell ref="H27:J27"/>
    <mergeCell ref="K27:M27"/>
    <mergeCell ref="N27:P27"/>
    <mergeCell ref="Q27:S27"/>
    <mergeCell ref="A43:S43"/>
    <mergeCell ref="B44:D44"/>
    <mergeCell ref="E44:G44"/>
    <mergeCell ref="H44:J44"/>
    <mergeCell ref="K44:M44"/>
    <mergeCell ref="N44:P44"/>
    <mergeCell ref="Q44:S44"/>
    <mergeCell ref="A77:S77"/>
    <mergeCell ref="B78:D78"/>
    <mergeCell ref="E78:G78"/>
    <mergeCell ref="H78:J78"/>
    <mergeCell ref="K78:M78"/>
    <mergeCell ref="N78:P78"/>
    <mergeCell ref="Q78:S78"/>
    <mergeCell ref="A60:S60"/>
    <mergeCell ref="B61:D61"/>
    <mergeCell ref="E61:G61"/>
    <mergeCell ref="H61:J61"/>
    <mergeCell ref="K61:M61"/>
    <mergeCell ref="N61:P61"/>
    <mergeCell ref="Q61:S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0"/>
    <col customWidth="1" min="10" max="14" width="13.5"/>
  </cols>
  <sheetData>
    <row r="1">
      <c r="A1" s="4" t="s">
        <v>151</v>
      </c>
      <c r="G1" s="2"/>
      <c r="H1" s="14"/>
      <c r="I1" s="14"/>
      <c r="J1" s="15" t="s">
        <v>152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6" t="s">
        <v>153</v>
      </c>
      <c r="G2" s="2"/>
      <c r="H2" s="2"/>
      <c r="I2" s="2"/>
      <c r="J2" s="4" t="s">
        <v>1</v>
      </c>
      <c r="K2" s="4" t="s">
        <v>2</v>
      </c>
      <c r="L2" s="4" t="s">
        <v>3</v>
      </c>
      <c r="M2" s="4" t="s">
        <v>4</v>
      </c>
      <c r="N2" s="4" t="s">
        <v>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5" t="s">
        <v>0</v>
      </c>
      <c r="G3" s="2"/>
      <c r="H3" s="2"/>
      <c r="I3" s="2"/>
      <c r="J3" s="17">
        <f t="shared" ref="J3:N3" si="1">sqrt(sum(B8:B10,B12,B22:B23,B25,B27:B28,B34,B42,B44:B46,B53,B55:B57))</f>
        <v>1.659952212</v>
      </c>
      <c r="K3" s="17">
        <f t="shared" si="1"/>
        <v>1.048357119</v>
      </c>
      <c r="L3" s="17">
        <f t="shared" si="1"/>
        <v>1.392807709</v>
      </c>
      <c r="M3" s="17">
        <f t="shared" si="1"/>
        <v>1.417836419</v>
      </c>
      <c r="N3" s="17">
        <f t="shared" si="1"/>
        <v>1.754243383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8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154</v>
      </c>
      <c r="H4" s="4"/>
      <c r="I4" s="4"/>
      <c r="J4" s="14"/>
      <c r="K4" s="14"/>
      <c r="L4" s="14"/>
      <c r="M4" s="14"/>
      <c r="N4" s="1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11</v>
      </c>
      <c r="B5" s="18">
        <f> ('переходы'!$R4-'переходы'!C4)^2</f>
        <v>529</v>
      </c>
      <c r="C5" s="18">
        <f> ('переходы'!$R4-'переходы'!F4)^2</f>
        <v>134.56</v>
      </c>
      <c r="D5" s="18">
        <f> ('переходы'!$R4-'переходы'!I4)^2</f>
        <v>196</v>
      </c>
      <c r="E5" s="18">
        <f> ('переходы'!$R4-'переходы'!L4)^2</f>
        <v>19.36</v>
      </c>
      <c r="F5" s="18">
        <f> ('переходы'!$R4-'переходы'!O4)^2</f>
        <v>1056.25</v>
      </c>
      <c r="G5" s="19">
        <v>1.0E-9</v>
      </c>
      <c r="H5" s="2"/>
      <c r="I5" s="2"/>
      <c r="J5" s="15" t="s">
        <v>155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12</v>
      </c>
      <c r="B6" s="18">
        <f> ('переходы'!$R5-'переходы'!C5)^2</f>
        <v>424.36</v>
      </c>
      <c r="C6" s="18">
        <f> ('переходы'!$R5-'переходы'!F5)^2</f>
        <v>98.01</v>
      </c>
      <c r="D6" s="18">
        <f> ('переходы'!$R5-'переходы'!I5)^2</f>
        <v>146.41</v>
      </c>
      <c r="E6" s="18">
        <f> ('переходы'!$R5-'переходы'!L5)^2</f>
        <v>22.09</v>
      </c>
      <c r="F6" s="18">
        <f> ('переходы'!$R5-'переходы'!O5)^2</f>
        <v>894.01</v>
      </c>
      <c r="G6" s="19">
        <v>1.5E-8</v>
      </c>
      <c r="H6" s="2"/>
      <c r="I6" s="2"/>
      <c r="J6" s="4" t="s">
        <v>1</v>
      </c>
      <c r="K6" s="4" t="s">
        <v>2</v>
      </c>
      <c r="L6" s="4" t="s">
        <v>3</v>
      </c>
      <c r="M6" s="4" t="s">
        <v>4</v>
      </c>
      <c r="N6" s="4" t="s">
        <v>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17</v>
      </c>
      <c r="B7" s="18">
        <f> ('переходы'!$R6-'переходы'!C9)^2</f>
        <v>3422.25</v>
      </c>
      <c r="C7" s="18">
        <f> ('переходы'!$R6-'переходы'!F9)^2</f>
        <v>3047.04</v>
      </c>
      <c r="D7" s="18">
        <f> ('переходы'!$R6-'переходы'!I9)^2</f>
        <v>2460.16</v>
      </c>
      <c r="E7" s="18">
        <f> ('переходы'!$R6-'переходы'!L9)^2</f>
        <v>1640.25</v>
      </c>
      <c r="F7" s="18">
        <f> ('переходы'!$R6-'переходы'!O9)^2</f>
        <v>5198.41</v>
      </c>
      <c r="G7" s="19">
        <v>6.0E-9</v>
      </c>
      <c r="H7" s="2"/>
      <c r="I7" s="2"/>
      <c r="J7" s="17">
        <f t="shared" ref="J7:N7" si="2">sqrt(sum(B8,B22,B34,B42,B53))</f>
        <v>0.4482416685</v>
      </c>
      <c r="K7" s="17">
        <f t="shared" si="2"/>
        <v>0.3730733793</v>
      </c>
      <c r="L7" s="17">
        <f t="shared" si="2"/>
        <v>0.4795486847</v>
      </c>
      <c r="M7" s="17">
        <f t="shared" si="2"/>
        <v>0.6827582895</v>
      </c>
      <c r="N7" s="17">
        <f t="shared" si="2"/>
        <v>0.7886246069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 t="s">
        <v>11</v>
      </c>
      <c r="B8" s="2">
        <f> (1240/'переходы'!$R7-1240/'переходы'!C4)^2</f>
        <v>0.06852500927</v>
      </c>
      <c r="C8" s="2">
        <f> (1240/'переходы'!$R7-1240/'переходы'!F4)^2</f>
        <v>0.0042462171</v>
      </c>
      <c r="D8" s="2">
        <f> (1240/'переходы'!$R7-1240/'переходы'!I4)^2</f>
        <v>0.01106334758</v>
      </c>
      <c r="E8" s="2">
        <f> (1240/'переходы'!$R7-1240/'переходы'!L4)^2</f>
        <v>0.03411397589</v>
      </c>
      <c r="F8" s="2">
        <f> (1240/'переходы'!$R7-1240/'переходы'!O4)^2</f>
        <v>0.192851903</v>
      </c>
      <c r="G8" s="20">
        <v>0.008483392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 t="s">
        <v>12</v>
      </c>
      <c r="B9" s="2">
        <f> (1240/'переходы'!$R8-1240/'переходы'!C5)^2</f>
        <v>0.05937626165</v>
      </c>
      <c r="C9" s="2">
        <f> (1240/'переходы'!$R8-1240/'переходы'!F5)^2</f>
        <v>0.002902245471</v>
      </c>
      <c r="D9" s="2">
        <f> (1240/'переходы'!$R8-1240/'переходы'!I5)^2</f>
        <v>0.00840104629</v>
      </c>
      <c r="E9" s="2">
        <f> (1240/'переходы'!$R8-1240/'переходы'!L5)^2</f>
        <v>0.0331488598</v>
      </c>
      <c r="F9" s="2">
        <f> (1240/'переходы'!$R8-1240/'переходы'!O5)^2</f>
        <v>0.1779545833</v>
      </c>
      <c r="G9" s="20">
        <v>0.012526676</v>
      </c>
      <c r="H9" s="2"/>
      <c r="I9" s="2"/>
      <c r="J9" s="15"/>
      <c r="K9" s="15"/>
      <c r="L9" s="15"/>
      <c r="M9" s="15"/>
      <c r="N9" s="1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16</v>
      </c>
      <c r="B10" s="2">
        <f> (1240/'переходы'!$R9-1240/'переходы'!C7)^2</f>
        <v>0.2304957524</v>
      </c>
      <c r="C10" s="2">
        <f> (1240/'переходы'!$R9-1240/'переходы'!F7)^2</f>
        <v>0.07093631063</v>
      </c>
      <c r="D10" s="2">
        <f> (1240/'переходы'!$R9-1240/'переходы'!I7)^2</f>
        <v>0.1005464033</v>
      </c>
      <c r="E10" s="2">
        <f> (1240/'переходы'!$R9-1240/'переходы'!L7)^2</f>
        <v>0.009489936246</v>
      </c>
      <c r="F10" s="2">
        <f> (1240/'переходы'!$R9-1240/'переходы'!O7)^2</f>
        <v>0.2520504175</v>
      </c>
      <c r="G10" s="19">
        <v>4.25E-7</v>
      </c>
      <c r="H10" s="15"/>
      <c r="I10" s="15" t="s">
        <v>156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15</v>
      </c>
      <c r="B11" s="18">
        <f> ('переходы'!$R10)^2</f>
        <v>68644</v>
      </c>
      <c r="C11" s="18">
        <f> ('переходы'!$R10)^2</f>
        <v>68644</v>
      </c>
      <c r="D11" s="18">
        <f> ('переходы'!$R10)^2</f>
        <v>68644</v>
      </c>
      <c r="E11" s="18">
        <f> ('переходы'!$R10)^2</f>
        <v>68644</v>
      </c>
      <c r="F11" s="18">
        <f> ('переходы'!$R10)^2</f>
        <v>68644</v>
      </c>
      <c r="G11" s="19">
        <v>5.73E-7</v>
      </c>
      <c r="H11" s="4"/>
      <c r="I11" s="4" t="s">
        <v>157</v>
      </c>
      <c r="J11" s="4" t="s">
        <v>1</v>
      </c>
      <c r="K11" s="4" t="s">
        <v>2</v>
      </c>
      <c r="L11" s="4" t="s">
        <v>3</v>
      </c>
      <c r="M11" s="4" t="s">
        <v>4</v>
      </c>
      <c r="N11" s="4" t="s">
        <v>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 t="s">
        <v>17</v>
      </c>
      <c r="B12" s="2">
        <f> (1240/'переходы'!$R11-1240/'переходы'!C9)^2</f>
        <v>0.4133345675</v>
      </c>
      <c r="C12" s="2">
        <f> (1240/'переходы'!$R11-1240/'переходы'!F9)^2</f>
        <v>0.3140051012</v>
      </c>
      <c r="D12" s="2">
        <f> (1240/'переходы'!$R11-1240/'переходы'!I9)^2</f>
        <v>0.1812210816</v>
      </c>
      <c r="E12" s="2">
        <f> (1240/'переходы'!$R11-1240/'переходы'!L9)^2</f>
        <v>0.04854786515</v>
      </c>
      <c r="F12" s="2">
        <f> (1240/'переходы'!$R11-1240/'переходы'!O9)^2</f>
        <v>1.021789901</v>
      </c>
      <c r="G12" s="20">
        <v>0.007277629</v>
      </c>
      <c r="H12" s="4"/>
      <c r="I12" s="21" t="s">
        <v>158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 t="s">
        <v>159</v>
      </c>
      <c r="B13" s="18">
        <f> ('переходы'!$R12-'переходы'!C13)^2</f>
        <v>2381.44</v>
      </c>
      <c r="C13" s="18">
        <f> ('переходы'!$R12-'переходы'!F11)^2</f>
        <v>1095.61</v>
      </c>
      <c r="D13" s="18">
        <f> ('переходы'!$R12-'переходы'!I13)^2</f>
        <v>2209</v>
      </c>
      <c r="E13" s="18">
        <f> ('переходы'!$R12-'переходы'!L11)^2</f>
        <v>295.84</v>
      </c>
      <c r="F13" s="18">
        <f> ('переходы'!$R12-'переходы'!O11)^2</f>
        <v>2007.04</v>
      </c>
      <c r="G13" s="20">
        <v>0.008653048</v>
      </c>
      <c r="H13" s="4"/>
      <c r="I13" s="22" t="str">
        <f t="shared" ref="I13:I16" si="4">I39</f>
        <v>HOMO -&gt; LUMO</v>
      </c>
      <c r="J13" s="22">
        <f t="shared" ref="J13:N13" si="3">B8</f>
        <v>0.06852500927</v>
      </c>
      <c r="K13" s="22">
        <f t="shared" si="3"/>
        <v>0.0042462171</v>
      </c>
      <c r="L13" s="22">
        <f t="shared" si="3"/>
        <v>0.01106334758</v>
      </c>
      <c r="M13" s="22">
        <f t="shared" si="3"/>
        <v>0.03411397589</v>
      </c>
      <c r="N13" s="22">
        <f t="shared" si="3"/>
        <v>0.192851903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" t="s">
        <v>17</v>
      </c>
      <c r="B14" s="18">
        <f> ('переходы'!$R13)^2</f>
        <v>61752.25</v>
      </c>
      <c r="C14" s="18">
        <f> ('переходы'!$R13)^2</f>
        <v>61752.25</v>
      </c>
      <c r="D14" s="18">
        <f> ('переходы'!$R13)^2</f>
        <v>61752.25</v>
      </c>
      <c r="E14" s="18">
        <f> ('переходы'!$R13)^2</f>
        <v>61752.25</v>
      </c>
      <c r="F14" s="18">
        <f> ('переходы'!$R13)^2</f>
        <v>61752.25</v>
      </c>
      <c r="G14" s="20">
        <v>0.007752046</v>
      </c>
      <c r="H14" s="6"/>
      <c r="I14" s="22" t="str">
        <f t="shared" si="4"/>
        <v>HOMO-1 -&gt; LUMO</v>
      </c>
      <c r="J14" s="22">
        <f t="shared" ref="J14:N14" si="5">B9</f>
        <v>0.05937626165</v>
      </c>
      <c r="K14" s="22">
        <f t="shared" si="5"/>
        <v>0.002902245471</v>
      </c>
      <c r="L14" s="22">
        <f t="shared" si="5"/>
        <v>0.00840104629</v>
      </c>
      <c r="M14" s="22">
        <f t="shared" si="5"/>
        <v>0.0331488598</v>
      </c>
      <c r="N14" s="22">
        <f t="shared" si="5"/>
        <v>0.1779545833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4"/>
      <c r="I15" s="22" t="str">
        <f t="shared" si="4"/>
        <v>HOMO -&gt; LUMO+2</v>
      </c>
      <c r="J15" s="22">
        <f t="shared" ref="J15:N15" si="6">B10</f>
        <v>0.2304957524</v>
      </c>
      <c r="K15" s="22">
        <f t="shared" si="6"/>
        <v>0.07093631063</v>
      </c>
      <c r="L15" s="22">
        <f t="shared" si="6"/>
        <v>0.1005464033</v>
      </c>
      <c r="M15" s="22">
        <f t="shared" si="6"/>
        <v>0.009489936246</v>
      </c>
      <c r="N15" s="22">
        <f t="shared" si="6"/>
        <v>0.2520504175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2" t="str">
        <f t="shared" si="4"/>
        <v>HOMO-3 -&gt; LUMO</v>
      </c>
      <c r="J16" s="22">
        <f t="shared" ref="J16:N16" si="7">B12</f>
        <v>0.4133345675</v>
      </c>
      <c r="K16" s="22">
        <f t="shared" si="7"/>
        <v>0.3140051012</v>
      </c>
      <c r="L16" s="22">
        <f t="shared" si="7"/>
        <v>0.1812210816</v>
      </c>
      <c r="M16" s="22">
        <f t="shared" si="7"/>
        <v>0.04854786515</v>
      </c>
      <c r="N16" s="22">
        <f t="shared" si="7"/>
        <v>1.021789901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5" t="s">
        <v>49</v>
      </c>
      <c r="G17" s="2"/>
      <c r="H17" s="2"/>
      <c r="I17" s="23" t="s">
        <v>160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 t="s">
        <v>8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154</v>
      </c>
      <c r="H18" s="2"/>
      <c r="I18" s="22" t="str">
        <f t="shared" ref="I18:I22" si="9">I44</f>
        <v>HOMO -&gt; LUMO</v>
      </c>
      <c r="J18" s="22">
        <f t="shared" ref="J18:N18" si="8">B22</f>
        <v>0.02637161345</v>
      </c>
      <c r="K18" s="22">
        <f t="shared" si="8"/>
        <v>0.000367538931</v>
      </c>
      <c r="L18" s="22">
        <f t="shared" si="8"/>
        <v>0.05038038805</v>
      </c>
      <c r="M18" s="22">
        <f t="shared" si="8"/>
        <v>0.1443470863</v>
      </c>
      <c r="N18" s="22">
        <f t="shared" si="8"/>
        <v>0.1850078856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 t="s">
        <v>51</v>
      </c>
      <c r="B19" s="18">
        <f>('переходы'!$R29-'переходы'!C31)^2</f>
        <v>7293.16</v>
      </c>
      <c r="C19" s="18">
        <f>('переходы'!$R29)^2</f>
        <v>180965.16</v>
      </c>
      <c r="D19" s="18">
        <f>('переходы'!$R29)^2</f>
        <v>180965.16</v>
      </c>
      <c r="E19" s="18">
        <f>('переходы'!$R29)^2</f>
        <v>180965.16</v>
      </c>
      <c r="F19" s="18">
        <f>('переходы'!$R29)^2</f>
        <v>180965.16</v>
      </c>
      <c r="G19" s="24">
        <v>1.1667E-5</v>
      </c>
      <c r="H19" s="2"/>
      <c r="I19" s="22" t="str">
        <f t="shared" si="9"/>
        <v>HOMO -&gt; LUMO+1</v>
      </c>
      <c r="J19" s="22">
        <f t="shared" ref="J19:N19" si="10">B23</f>
        <v>0.007376591052</v>
      </c>
      <c r="K19" s="22">
        <f t="shared" si="10"/>
        <v>0.004519843978</v>
      </c>
      <c r="L19" s="22">
        <f t="shared" si="10"/>
        <v>0.05776147716</v>
      </c>
      <c r="M19" s="22">
        <f t="shared" si="10"/>
        <v>0.2441766194</v>
      </c>
      <c r="N19" s="22">
        <f t="shared" si="10"/>
        <v>0.211214263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 t="s">
        <v>52</v>
      </c>
      <c r="B20" s="18">
        <f>('переходы'!$R30-'переходы'!C30)^2</f>
        <v>676</v>
      </c>
      <c r="C20" s="18">
        <f>('переходы'!$R30)^2</f>
        <v>159440.49</v>
      </c>
      <c r="D20" s="18">
        <f>('переходы'!$R30)^2</f>
        <v>159440.49</v>
      </c>
      <c r="E20" s="18">
        <f>('переходы'!$R30)^2</f>
        <v>159440.49</v>
      </c>
      <c r="F20" s="18">
        <f>('переходы'!$R30)^2</f>
        <v>159440.49</v>
      </c>
      <c r="G20" s="24">
        <v>1.466E-6</v>
      </c>
      <c r="H20" s="2"/>
      <c r="I20" s="22" t="str">
        <f t="shared" si="9"/>
        <v>HOMO -&gt; LUMO+2</v>
      </c>
      <c r="J20" s="25">
        <f t="shared" ref="J20:N20" si="11">B25</f>
        <v>0.003335230477</v>
      </c>
      <c r="K20" s="25">
        <f t="shared" si="11"/>
        <v>0.00040128171</v>
      </c>
      <c r="L20" s="25">
        <f t="shared" si="11"/>
        <v>0.09631090286</v>
      </c>
      <c r="M20" s="25">
        <f t="shared" si="11"/>
        <v>0.02242937739</v>
      </c>
      <c r="N20" s="25">
        <f t="shared" si="11"/>
        <v>0.04028110541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 t="s">
        <v>50</v>
      </c>
      <c r="B21" s="18">
        <f>('переходы'!$R31-'переходы'!C29)^2</f>
        <v>27.04</v>
      </c>
      <c r="C21" s="18">
        <f>('переходы'!$R31-'переходы'!F29)^2</f>
        <v>246.49</v>
      </c>
      <c r="D21" s="18">
        <f>('переходы'!$R31)^2</f>
        <v>146842.24</v>
      </c>
      <c r="E21" s="18">
        <f>('переходы'!$R31)^2</f>
        <v>146842.24</v>
      </c>
      <c r="F21" s="18">
        <f>('переходы'!$R31)^2</f>
        <v>146842.24</v>
      </c>
      <c r="G21" s="24">
        <v>2.0E-8</v>
      </c>
      <c r="H21" s="2"/>
      <c r="I21" s="22" t="str">
        <f t="shared" si="9"/>
        <v>HOMO -&gt; LUMO+3</v>
      </c>
      <c r="J21" s="25">
        <f t="shared" ref="J21:N21" si="12">B27</f>
        <v>0.007465100632</v>
      </c>
      <c r="K21" s="25">
        <f t="shared" si="12"/>
        <v>0.02154001568</v>
      </c>
      <c r="L21" s="25">
        <f t="shared" si="12"/>
        <v>0.06673238715</v>
      </c>
      <c r="M21" s="25">
        <f t="shared" si="12"/>
        <v>0.09601815533</v>
      </c>
      <c r="N21" s="25">
        <f t="shared" si="12"/>
        <v>0.003001981415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 t="s">
        <v>50</v>
      </c>
      <c r="B22" s="2">
        <f>(1240/'переходы'!$R32-1240/'переходы'!C29)^2</f>
        <v>0.02637161345</v>
      </c>
      <c r="C22" s="2">
        <f>(1240/'переходы'!$R32-1240/'переходы'!F29)^2</f>
        <v>0.000367538931</v>
      </c>
      <c r="D22" s="2">
        <f>(1240/'переходы'!$R32-1240/'переходы'!I29)^2</f>
        <v>0.05038038805</v>
      </c>
      <c r="E22" s="2">
        <f>(1240/'переходы'!$R32-1240/'переходы'!L29)^2</f>
        <v>0.1443470863</v>
      </c>
      <c r="F22" s="2">
        <f>(1240/'переходы'!$R32-1240 /'переходы'!O29)^2</f>
        <v>0.1850078856</v>
      </c>
      <c r="G22" s="19">
        <v>0.444512222</v>
      </c>
      <c r="H22" s="2"/>
      <c r="I22" s="22" t="str">
        <f t="shared" si="9"/>
        <v>HOMO -&gt; LUMO+4</v>
      </c>
      <c r="J22" s="25">
        <f t="shared" ref="J22:N22" si="13">B28</f>
        <v>0.001721997972</v>
      </c>
      <c r="K22" s="25">
        <f t="shared" si="13"/>
        <v>0.003615102392</v>
      </c>
      <c r="L22" s="25">
        <f t="shared" si="13"/>
        <v>0.09398653122</v>
      </c>
      <c r="M22" s="25" t="str">
        <f t="shared" si="13"/>
        <v>—</v>
      </c>
      <c r="N22" s="25">
        <f t="shared" si="13"/>
        <v>0.01230275258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 t="s">
        <v>52</v>
      </c>
      <c r="B23" s="2">
        <f>(1240/'переходы'!$R33-1240/'переходы'!C31)^2</f>
        <v>0.007376591052</v>
      </c>
      <c r="C23" s="2">
        <f>(1240/'переходы'!$R33-1240/'переходы'!F30)^2</f>
        <v>0.004519843978</v>
      </c>
      <c r="D23" s="2">
        <f>(1240/'переходы'!$R33-1240/'переходы'!I30)^2</f>
        <v>0.05776147716</v>
      </c>
      <c r="E23" s="2">
        <f>(1240/'переходы'!$R33-1240/'переходы'!L30)^2</f>
        <v>0.2441766194</v>
      </c>
      <c r="F23" s="2">
        <f>(1240/'переходы'!$R33-1240/'переходы'!O31)^2</f>
        <v>0.211214263</v>
      </c>
      <c r="G23" s="19">
        <v>0.043827317</v>
      </c>
      <c r="H23" s="2"/>
      <c r="I23" s="23" t="s">
        <v>161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 t="s">
        <v>53</v>
      </c>
      <c r="B24" s="18">
        <f>('переходы'!$R34)^2</f>
        <v>115872.16</v>
      </c>
      <c r="C24" s="18">
        <f>('переходы'!$R34)^2</f>
        <v>115872.16</v>
      </c>
      <c r="D24" s="18">
        <f>('переходы'!$R34)^2</f>
        <v>115872.16</v>
      </c>
      <c r="E24" s="18">
        <f>('переходы'!$R34)^2</f>
        <v>115872.16</v>
      </c>
      <c r="F24" s="18">
        <f>('переходы'!$R34)^2</f>
        <v>115872.16</v>
      </c>
      <c r="G24" s="24">
        <v>1.75E-7</v>
      </c>
      <c r="H24" s="2"/>
      <c r="I24" s="22" t="str">
        <f>I50</f>
        <v>HOMO -&gt; LUMO</v>
      </c>
      <c r="J24" s="25">
        <f t="shared" ref="J24:N24" si="14">B34</f>
        <v>0.0008230163552</v>
      </c>
      <c r="K24" s="25">
        <f t="shared" si="14"/>
        <v>0.1023203712</v>
      </c>
      <c r="L24" s="25">
        <f t="shared" si="14"/>
        <v>0.0002040435177</v>
      </c>
      <c r="M24" s="25">
        <f t="shared" si="14"/>
        <v>0.0664856123</v>
      </c>
      <c r="N24" s="25">
        <f t="shared" si="14"/>
        <v>0.203024457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51</v>
      </c>
      <c r="B25" s="2">
        <f>(1240/'переходы'!$R35-1240/'переходы'!C31)^2</f>
        <v>0.003335230477</v>
      </c>
      <c r="C25" s="2">
        <f>(1240/'переходы'!$R35-1240/'переходы'!F31)^2</f>
        <v>0.00040128171</v>
      </c>
      <c r="D25" s="2">
        <f>(1240/'переходы'!$R35-1240/'переходы'!I31)^2</f>
        <v>0.09631090286</v>
      </c>
      <c r="E25" s="2">
        <f>(1240/'переходы'!$R35-1240/'переходы'!L31)^2</f>
        <v>0.02242937739</v>
      </c>
      <c r="F25" s="2">
        <f>(1240/'переходы'!$R35-1240/'переходы'!O30)^2</f>
        <v>0.04028110541</v>
      </c>
      <c r="G25" s="19">
        <v>0.308715031</v>
      </c>
      <c r="H25" s="2"/>
      <c r="I25" s="23" t="s">
        <v>162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 t="s">
        <v>62</v>
      </c>
      <c r="B26" s="18">
        <f>('переходы'!$R36)^2</f>
        <v>82828.84</v>
      </c>
      <c r="C26" s="18">
        <f>('переходы'!$R36)^2</f>
        <v>82828.84</v>
      </c>
      <c r="D26" s="18">
        <f>('переходы'!$R36)^2</f>
        <v>82828.84</v>
      </c>
      <c r="E26" s="18">
        <f>('переходы'!$R36)^2</f>
        <v>82828.84</v>
      </c>
      <c r="F26" s="18">
        <f>('переходы'!$R36)^2</f>
        <v>82828.84</v>
      </c>
      <c r="G26" s="24">
        <v>3.67E-7</v>
      </c>
      <c r="H26" s="2"/>
      <c r="I26" s="22" t="str">
        <f t="shared" ref="I26:I29" si="16">I52</f>
        <v>HOMO -&gt; LUMO</v>
      </c>
      <c r="J26" s="25">
        <f t="shared" ref="J26:N26" si="15">B42</f>
        <v>0.0110952572</v>
      </c>
      <c r="K26" s="25">
        <f t="shared" si="15"/>
        <v>0.002702911262</v>
      </c>
      <c r="L26" s="25">
        <f t="shared" si="15"/>
        <v>0.0967383011</v>
      </c>
      <c r="M26" s="25">
        <f t="shared" si="15"/>
        <v>0.1231151684</v>
      </c>
      <c r="N26" s="25">
        <f t="shared" si="15"/>
        <v>0.02699793718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53</v>
      </c>
      <c r="B27" s="2">
        <f>(1240/'переходы'!$R37-1240/'переходы'!C32)^2</f>
        <v>0.007465100632</v>
      </c>
      <c r="C27" s="2">
        <f>(1240/'переходы'!$R37-1240/'переходы'!F34)^2</f>
        <v>0.02154001568</v>
      </c>
      <c r="D27" s="2">
        <f>(1240/'переходы'!$R37-1240/'переходы'!I32)^2</f>
        <v>0.06673238715</v>
      </c>
      <c r="E27" s="2">
        <f>(1240/'переходы'!$R37-1240/'переходы'!L36)^2</f>
        <v>0.09601815533</v>
      </c>
      <c r="F27" s="2">
        <f>(1240/'переходы'!$R37-1240/'переходы'!O32)^2</f>
        <v>0.003001981415</v>
      </c>
      <c r="G27" s="19">
        <v>0.028367392</v>
      </c>
      <c r="H27" s="2"/>
      <c r="I27" s="22" t="str">
        <f t="shared" si="16"/>
        <v>HOMO -&gt; LUMO+1</v>
      </c>
      <c r="J27" s="25">
        <f t="shared" ref="J27:N27" si="17">B44</f>
        <v>0.01481267572</v>
      </c>
      <c r="K27" s="25">
        <f t="shared" si="17"/>
        <v>0.003758306705</v>
      </c>
      <c r="L27" s="25">
        <f t="shared" si="17"/>
        <v>0.02542648825</v>
      </c>
      <c r="M27" s="25">
        <f t="shared" si="17"/>
        <v>0.0003132001242</v>
      </c>
      <c r="N27" s="25">
        <f t="shared" si="17"/>
        <v>0.003591536749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 t="s">
        <v>62</v>
      </c>
      <c r="B28" s="2">
        <f>(1240/'переходы'!$R38-1240/'переходы'!C35)^2</f>
        <v>0.001721997972</v>
      </c>
      <c r="C28" s="2">
        <f>(1240/'переходы'!$R38-1240/'переходы'!F40)^2</f>
        <v>0.003615102392</v>
      </c>
      <c r="D28" s="2">
        <f>(1240/'переходы'!$R38-1240/'переходы'!I35)^2</f>
        <v>0.09398653122</v>
      </c>
      <c r="E28" s="4" t="s">
        <v>163</v>
      </c>
      <c r="F28" s="2">
        <f>(1240/'переходы'!$R38-1240/'переходы'!O39)^2</f>
        <v>0.01230275258</v>
      </c>
      <c r="G28" s="19">
        <v>0.006322222</v>
      </c>
      <c r="H28" s="2"/>
      <c r="I28" s="22" t="str">
        <f t="shared" si="16"/>
        <v>HOMO -&gt; LUMO+2</v>
      </c>
      <c r="J28" s="25">
        <f t="shared" ref="J28:N28" si="18">B45</f>
        <v>0.005171031514</v>
      </c>
      <c r="K28" s="25">
        <f t="shared" si="18"/>
        <v>0.06599244513</v>
      </c>
      <c r="L28" s="25">
        <f t="shared" si="18"/>
        <v>0.1758017063</v>
      </c>
      <c r="M28" s="25">
        <f t="shared" si="18"/>
        <v>0.02231745838</v>
      </c>
      <c r="N28" s="25">
        <f t="shared" si="18"/>
        <v>0.5082951286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2" t="str">
        <f t="shared" si="16"/>
        <v>HOMO -&gt; LUMO+5</v>
      </c>
      <c r="J29" s="25">
        <f t="shared" ref="J29:N29" si="19">B46</f>
        <v>0.03438524722</v>
      </c>
      <c r="K29" s="25">
        <f t="shared" si="19"/>
        <v>0.105575969</v>
      </c>
      <c r="L29" s="25">
        <f t="shared" si="19"/>
        <v>0.005309148505</v>
      </c>
      <c r="M29" s="25">
        <f t="shared" si="19"/>
        <v>0.02335058253</v>
      </c>
      <c r="N29" s="25">
        <f t="shared" si="19"/>
        <v>0.004679588245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3" t="s">
        <v>164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5" t="s">
        <v>73</v>
      </c>
      <c r="G31" s="2"/>
      <c r="H31" s="2"/>
      <c r="I31" s="22" t="str">
        <f t="shared" ref="I31:I34" si="21">I57</f>
        <v>HOMO -&gt; LUMO</v>
      </c>
      <c r="J31" s="26">
        <f t="shared" ref="J31:N31" si="20">B53</f>
        <v>0.09410569706</v>
      </c>
      <c r="K31" s="26">
        <f t="shared" si="20"/>
        <v>0.02954670779</v>
      </c>
      <c r="L31" s="26">
        <f t="shared" si="20"/>
        <v>0.07158086072</v>
      </c>
      <c r="M31" s="26">
        <f t="shared" si="20"/>
        <v>0.09809703895</v>
      </c>
      <c r="N31" s="26">
        <f t="shared" si="20"/>
        <v>0.01404658781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" t="s">
        <v>8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154</v>
      </c>
      <c r="H32" s="2"/>
      <c r="I32" s="22" t="str">
        <f t="shared" si="21"/>
        <v>HOMO -&gt; LUMO+1</v>
      </c>
      <c r="J32" s="27">
        <f t="shared" ref="J32:N32" si="22">B55</f>
        <v>1.605927773</v>
      </c>
      <c r="K32" s="27">
        <f t="shared" si="22"/>
        <v>0.3539980923</v>
      </c>
      <c r="L32" s="27">
        <f t="shared" si="22"/>
        <v>0.6418781878</v>
      </c>
      <c r="M32" s="27">
        <f t="shared" si="22"/>
        <v>0.7476408046</v>
      </c>
      <c r="N32" s="27">
        <f t="shared" si="22"/>
        <v>0.2200245936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" t="s">
        <v>75</v>
      </c>
      <c r="B33" s="18">
        <f>('переходы'!$R46)^2</f>
        <v>196603.56</v>
      </c>
      <c r="C33" s="18">
        <f>('переходы'!$R46)^2</f>
        <v>196603.56</v>
      </c>
      <c r="D33" s="18">
        <f>('переходы'!$R46)^2</f>
        <v>196603.56</v>
      </c>
      <c r="E33" s="18">
        <f>('переходы'!$R46)^2</f>
        <v>196603.56</v>
      </c>
      <c r="F33" s="18">
        <f>('переходы'!$R46)^2</f>
        <v>196603.56</v>
      </c>
      <c r="G33" s="20">
        <v>0.002705358</v>
      </c>
      <c r="H33" s="2"/>
      <c r="I33" s="22" t="str">
        <f t="shared" si="21"/>
        <v>HOMO -&gt; LUMO+4</v>
      </c>
      <c r="J33" s="27">
        <f t="shared" ref="J33:N33" si="23">B56</f>
        <v>0.1434588061</v>
      </c>
      <c r="K33" s="27">
        <f t="shared" si="23"/>
        <v>0.01262418939</v>
      </c>
      <c r="L33" s="27">
        <f t="shared" si="23"/>
        <v>0.1637143536</v>
      </c>
      <c r="M33" s="27">
        <f t="shared" si="23"/>
        <v>0.2966683704</v>
      </c>
      <c r="N33" s="27" t="str">
        <f t="shared" si="23"/>
        <v>—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" t="s">
        <v>81</v>
      </c>
      <c r="B34" s="2">
        <f>(1240/'переходы'!$R47-1240/'переходы'!C46)^2</f>
        <v>0.0008230163552</v>
      </c>
      <c r="C34" s="2">
        <f>(1240/'переходы'!$R47-1240/'переходы'!F46)^2</f>
        <v>0.1023203712</v>
      </c>
      <c r="D34" s="2">
        <f>(1240/'переходы'!$R47-1240/'переходы'!I46)^2</f>
        <v>0.0002040435177</v>
      </c>
      <c r="E34" s="2">
        <f>(1240/'переходы'!$R47-1240/'переходы'!L46)^2</f>
        <v>0.0664856123</v>
      </c>
      <c r="F34" s="2">
        <f>(1240/'переходы'!$R47-1240/'переходы'!O46)^2</f>
        <v>0.203024457</v>
      </c>
      <c r="G34" s="20">
        <v>0.501873884</v>
      </c>
      <c r="H34" s="2"/>
      <c r="I34" s="22" t="str">
        <f t="shared" si="21"/>
        <v>HOMO -&gt; LUMO+5</v>
      </c>
      <c r="J34" s="27">
        <f t="shared" ref="J34:N34" si="24">B57</f>
        <v>0.02765971906</v>
      </c>
      <c r="K34" s="27" t="str">
        <f t="shared" si="24"/>
        <v>—</v>
      </c>
      <c r="L34" s="27">
        <f t="shared" si="24"/>
        <v>0.09285665962</v>
      </c>
      <c r="M34" s="27" t="str">
        <f t="shared" si="24"/>
        <v>—</v>
      </c>
      <c r="N34" s="27">
        <f t="shared" si="24"/>
        <v>0.0002552241227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" t="s">
        <v>85</v>
      </c>
      <c r="B35" s="18">
        <f>('переходы'!$R48)^2</f>
        <v>76618.24</v>
      </c>
      <c r="C35" s="18">
        <f>('переходы'!$R48)^2</f>
        <v>76618.24</v>
      </c>
      <c r="D35" s="18">
        <f>('переходы'!$R48)^2</f>
        <v>76618.24</v>
      </c>
      <c r="E35" s="18">
        <f>('переходы'!$R48)^2</f>
        <v>76618.24</v>
      </c>
      <c r="F35" s="18">
        <f>('переходы'!$R48)^2</f>
        <v>76618.24</v>
      </c>
      <c r="G35" s="20">
        <v>0.009291543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" t="s">
        <v>165</v>
      </c>
      <c r="B36" s="18">
        <f>('переходы'!$R49)^2</f>
        <v>59976.01</v>
      </c>
      <c r="C36" s="18">
        <f>('переходы'!$R49)^2</f>
        <v>59976.01</v>
      </c>
      <c r="D36" s="18">
        <f>('переходы'!$R49)^2</f>
        <v>59976.01</v>
      </c>
      <c r="E36" s="18">
        <f>('переходы'!$R49)^2</f>
        <v>59976.01</v>
      </c>
      <c r="F36" s="18">
        <f>('переходы'!$R49)^2</f>
        <v>59976.01</v>
      </c>
      <c r="G36" s="20">
        <v>0.092370818</v>
      </c>
      <c r="H36" s="2"/>
      <c r="I36" s="15" t="s">
        <v>166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" t="s">
        <v>88</v>
      </c>
      <c r="B37" s="18">
        <f>('переходы'!$R50)^2</f>
        <v>53314.81</v>
      </c>
      <c r="C37" s="18">
        <f>('переходы'!$R50)^2</f>
        <v>53314.81</v>
      </c>
      <c r="D37" s="18">
        <f>('переходы'!$R50)^2</f>
        <v>53314.81</v>
      </c>
      <c r="E37" s="18">
        <f>('переходы'!$R50)^2</f>
        <v>53314.81</v>
      </c>
      <c r="F37" s="18">
        <f>('переходы'!$R50)^2</f>
        <v>53314.81</v>
      </c>
      <c r="G37" s="20">
        <v>0.020176819</v>
      </c>
      <c r="H37" s="2"/>
      <c r="I37" s="4" t="s">
        <v>157</v>
      </c>
      <c r="J37" s="4" t="s">
        <v>1</v>
      </c>
      <c r="K37" s="4" t="s">
        <v>2</v>
      </c>
      <c r="L37" s="4" t="s">
        <v>3</v>
      </c>
      <c r="M37" s="4" t="s">
        <v>4</v>
      </c>
      <c r="N37" s="4" t="s">
        <v>5</v>
      </c>
      <c r="O37" s="4" t="s">
        <v>167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4" t="s">
        <v>158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4" t="s">
        <v>168</v>
      </c>
      <c r="J39" s="25">
        <f>1240/'переходы'!C4</f>
        <v>4.723809524</v>
      </c>
      <c r="K39" s="25">
        <f>1240/'переходы'!F4</f>
        <v>4.527199708</v>
      </c>
      <c r="L39" s="25">
        <f>1240/'переходы'!I4</f>
        <v>4.567219153</v>
      </c>
      <c r="M39" s="25">
        <f>1240/'переходы'!L4</f>
        <v>4.277337013</v>
      </c>
      <c r="N39" s="25">
        <f>1240/'переходы'!O4</f>
        <v>4.901185771</v>
      </c>
      <c r="O39" s="25">
        <f>1240/'переходы'!$R7</f>
        <v>4.462036704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5" t="s">
        <v>104</v>
      </c>
      <c r="G40" s="2"/>
      <c r="H40" s="2"/>
      <c r="I40" s="4" t="s">
        <v>169</v>
      </c>
      <c r="J40" s="25">
        <f>1240/'переходы'!C5</f>
        <v>4.78579699</v>
      </c>
      <c r="K40" s="25">
        <f>1240/'переходы'!F5</f>
        <v>4.595997035</v>
      </c>
      <c r="L40" s="25">
        <f>1240/'переходы'!I5</f>
        <v>4.633781764</v>
      </c>
      <c r="M40" s="25">
        <f>1240/'переходы'!L5</f>
        <v>4.360056259</v>
      </c>
      <c r="N40" s="25">
        <f>1240/'переходы'!O5</f>
        <v>4.963971177</v>
      </c>
      <c r="O40" s="25">
        <f>1240/'переходы'!$R8</f>
        <v>4.542124542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" t="s">
        <v>8</v>
      </c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154</v>
      </c>
      <c r="H41" s="2"/>
      <c r="I41" s="4" t="s">
        <v>170</v>
      </c>
      <c r="J41" s="25">
        <f>1240/'переходы'!C7</f>
        <v>5.205709488</v>
      </c>
      <c r="K41" s="25">
        <f>1240/'переходы'!F7</f>
        <v>4.99194847</v>
      </c>
      <c r="L41" s="25">
        <f>1240/'переходы'!I7</f>
        <v>5.042700285</v>
      </c>
      <c r="M41" s="25">
        <f>1240/'переходы'!L7</f>
        <v>4.82302606</v>
      </c>
      <c r="N41" s="25">
        <f>1240/'переходы'!O7</f>
        <v>5.227655987</v>
      </c>
      <c r="O41" s="25">
        <f>1240/'переходы'!$R9</f>
        <v>4.725609756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" t="s">
        <v>106</v>
      </c>
      <c r="B42" s="2">
        <f>(1240/'переходы'!$R63-1240/'переходы'!C63)^2</f>
        <v>0.0110952572</v>
      </c>
      <c r="C42" s="2">
        <f>(1240/'переходы'!$R63-1240/'переходы'!F63)^2</f>
        <v>0.002702911262</v>
      </c>
      <c r="D42" s="2">
        <f>(1240/'переходы'!$R63-1240/'переходы'!I63)^2</f>
        <v>0.0967383011</v>
      </c>
      <c r="E42" s="2">
        <f>(1240/'переходы'!$R63-1240/'переходы'!L63)^2</f>
        <v>0.1231151684</v>
      </c>
      <c r="F42" s="2">
        <f>(1240/'переходы'!$R63-1240/'переходы'!O63)^2</f>
        <v>0.02699793718</v>
      </c>
      <c r="G42" s="20">
        <v>0.061208424</v>
      </c>
      <c r="H42" s="2"/>
      <c r="I42" s="4" t="s">
        <v>171</v>
      </c>
      <c r="J42" s="25">
        <f>1240/'переходы'!C9</f>
        <v>5.610859729</v>
      </c>
      <c r="K42" s="25">
        <f>1240/'переходы'!F9</f>
        <v>5.528310299</v>
      </c>
      <c r="L42" s="25">
        <f>1240/'переходы'!I9</f>
        <v>5.393649413</v>
      </c>
      <c r="M42" s="25">
        <f>1240/'переходы'!L9</f>
        <v>5.188284519</v>
      </c>
      <c r="N42" s="25">
        <f>1240/'переходы'!O9</f>
        <v>5.978784957</v>
      </c>
      <c r="O42" s="25">
        <f>1240/'переходы'!$R11</f>
        <v>4.967948718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" t="s">
        <v>109</v>
      </c>
      <c r="B43" s="18">
        <f>('переходы'!$R64)^2</f>
        <v>190706.89</v>
      </c>
      <c r="C43" s="18">
        <f>('переходы'!$R64)^2</f>
        <v>190706.89</v>
      </c>
      <c r="D43" s="18">
        <f>('переходы'!$R64)^2</f>
        <v>190706.89</v>
      </c>
      <c r="E43" s="18">
        <f>('переходы'!$R64)^2</f>
        <v>190706.89</v>
      </c>
      <c r="F43" s="18">
        <f>('переходы'!$R64)^2</f>
        <v>190706.89</v>
      </c>
      <c r="G43" s="20">
        <v>0.177376804</v>
      </c>
      <c r="H43" s="2"/>
      <c r="I43" s="4" t="s">
        <v>160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" t="s">
        <v>107</v>
      </c>
      <c r="B44" s="2">
        <f>(1240/'переходы'!$R65-1240/'переходы'!C64)^2</f>
        <v>0.01481267572</v>
      </c>
      <c r="C44" s="2">
        <f>(1240/'переходы'!$R65-1240/'переходы'!F64)^2</f>
        <v>0.003758306705</v>
      </c>
      <c r="D44" s="2">
        <f>(1240/'переходы'!$R65-1240/'переходы'!I65)^2</f>
        <v>0.02542648825</v>
      </c>
      <c r="E44" s="2">
        <f>(1240/'переходы'!$R65-1240/'переходы'!L64)^2</f>
        <v>0.0003132001242</v>
      </c>
      <c r="F44" s="2">
        <f>(1240/'переходы'!$R65-1240/'переходы'!O64)^2</f>
        <v>0.003591536749</v>
      </c>
      <c r="G44" s="20">
        <v>0.181657614</v>
      </c>
      <c r="H44" s="2"/>
      <c r="I44" s="4" t="s">
        <v>168</v>
      </c>
      <c r="J44" s="25">
        <f>1240/'переходы'!C29</f>
        <v>3.192584964</v>
      </c>
      <c r="K44" s="25">
        <f>1240/'переходы'!F29</f>
        <v>3.37414966</v>
      </c>
      <c r="L44" s="25">
        <f>1240/'переходы'!I29</f>
        <v>3.130522595</v>
      </c>
      <c r="M44" s="25">
        <f>1240/'переходы'!L29</f>
        <v>2.975047985</v>
      </c>
      <c r="N44" s="25">
        <f>1240 /'переходы'!O29</f>
        <v>3.785103785</v>
      </c>
      <c r="O44" s="25">
        <f>1240/'переходы'!$R32</f>
        <v>3.354978355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" t="s">
        <v>106</v>
      </c>
      <c r="B45" s="2">
        <f>(1240/'переходы'!$R66-1240/'переходы'!C65)^2</f>
        <v>0.005171031514</v>
      </c>
      <c r="C45" s="2">
        <f>(1240/'переходы'!$R66-1240/'переходы'!F66)^2</f>
        <v>0.06599244513</v>
      </c>
      <c r="D45" s="2">
        <f>(1240/'переходы'!$R66-1240/'переходы'!I64)^2</f>
        <v>0.1758017063</v>
      </c>
      <c r="E45" s="2">
        <f>(1240/'переходы'!$R66-1240/'переходы'!L65)^2</f>
        <v>0.02231745838</v>
      </c>
      <c r="F45" s="2">
        <f>(1240/'переходы'!$R66-1240/'переходы'!O66)^2</f>
        <v>0.5082951286</v>
      </c>
      <c r="G45" s="20">
        <v>0.072707369</v>
      </c>
      <c r="H45" s="2"/>
      <c r="I45" s="4" t="s">
        <v>172</v>
      </c>
      <c r="J45" s="25">
        <f>1240/'переходы'!C31</f>
        <v>3.647058824</v>
      </c>
      <c r="K45" s="25">
        <f>1240/'переходы'!F30</f>
        <v>3.493941955</v>
      </c>
      <c r="L45" s="25">
        <f>1240/'переходы'!I30</f>
        <v>3.320835565</v>
      </c>
      <c r="M45" s="25">
        <f>1240/'переходы'!L30</f>
        <v>3.067029434</v>
      </c>
      <c r="N45" s="25">
        <f>1240/'переходы'!O31</f>
        <v>4.02075227</v>
      </c>
      <c r="O45" s="25">
        <f>1240/'переходы'!$R33</f>
        <v>3.56117174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" t="s">
        <v>113</v>
      </c>
      <c r="B46" s="2">
        <f>(1240/'переходы'!$R67-1240/'переходы'!C68)^2</f>
        <v>0.03438524722</v>
      </c>
      <c r="C46" s="2">
        <f>(1240/'переходы'!$R67-1240/'переходы'!F72)^2</f>
        <v>0.105575969</v>
      </c>
      <c r="D46" s="2">
        <f>(1240/'переходы'!$R67-1240/'переходы'!I68)^2</f>
        <v>0.005309148505</v>
      </c>
      <c r="E46" s="2">
        <f>(1240/'переходы'!$R67-1240/'переходы'!L69)^2</f>
        <v>0.02335058253</v>
      </c>
      <c r="F46" s="2">
        <f>(1240/'переходы'!$R67-1240/'переходы'!O67)^2</f>
        <v>0.004679588245</v>
      </c>
      <c r="G46" s="20">
        <v>0.002081603</v>
      </c>
      <c r="H46" s="2"/>
      <c r="I46" s="4" t="s">
        <v>170</v>
      </c>
      <c r="J46" s="25">
        <f>1240/'переходы'!C31</f>
        <v>3.647058824</v>
      </c>
      <c r="K46" s="25">
        <f>1240/'переходы'!F31</f>
        <v>3.724842295</v>
      </c>
      <c r="L46" s="25">
        <f>1240/'переходы'!I31</f>
        <v>3.394470298</v>
      </c>
      <c r="M46" s="25">
        <f>1240/'переходы'!L31</f>
        <v>3.555045872</v>
      </c>
      <c r="N46" s="25">
        <f>1240/'переходы'!O30</f>
        <v>3.905511811</v>
      </c>
      <c r="O46" s="25">
        <f>1240/'переходы'!$R35</f>
        <v>3.704810278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" t="s">
        <v>117</v>
      </c>
      <c r="B47" s="18">
        <f>('переходы'!$R68)^2</f>
        <v>74256.25</v>
      </c>
      <c r="C47" s="18">
        <f>('переходы'!$R68)^2</f>
        <v>74256.25</v>
      </c>
      <c r="D47" s="18">
        <f>('переходы'!$R68)^2</f>
        <v>74256.25</v>
      </c>
      <c r="E47" s="18">
        <f>('переходы'!$R68)^2</f>
        <v>74256.25</v>
      </c>
      <c r="F47" s="18">
        <f>('переходы'!$R68)^2</f>
        <v>74256.25</v>
      </c>
      <c r="G47" s="20">
        <v>0.05876506</v>
      </c>
      <c r="H47" s="2"/>
      <c r="I47" s="4" t="s">
        <v>173</v>
      </c>
      <c r="J47" s="25">
        <f>1240/'переходы'!C32</f>
        <v>4.411241551</v>
      </c>
      <c r="K47" s="25">
        <f>1240/'переходы'!F34</f>
        <v>4.350877193</v>
      </c>
      <c r="L47" s="25">
        <f>1240/'переходы'!I32</f>
        <v>4.239316239</v>
      </c>
      <c r="M47" s="25">
        <f>1240/'переходы'!L36</f>
        <v>4.187774401</v>
      </c>
      <c r="N47" s="25">
        <f>1240/'переходы'!O32</f>
        <v>4.442852024</v>
      </c>
      <c r="O47" s="25">
        <f>1240/'переходы'!$R37</f>
        <v>4.497642365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4" t="s">
        <v>174</v>
      </c>
      <c r="J48" s="25">
        <f>1240/'переходы'!C35</f>
        <v>4.815533981</v>
      </c>
      <c r="K48" s="25">
        <f>1240/'переходы'!F40</f>
        <v>4.796905222</v>
      </c>
      <c r="L48" s="25">
        <f>1240/'переходы'!I35</f>
        <v>4.550458716</v>
      </c>
      <c r="M48" s="28" t="s">
        <v>163</v>
      </c>
      <c r="N48" s="25">
        <f>1240/'переходы'!O39</f>
        <v>4.967948718</v>
      </c>
      <c r="O48" s="25">
        <f>1240/'переходы'!$R38</f>
        <v>4.857030944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4" t="s">
        <v>161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5" t="s">
        <v>129</v>
      </c>
      <c r="G50" s="2"/>
      <c r="H50" s="2"/>
      <c r="I50" s="4" t="s">
        <v>168</v>
      </c>
      <c r="J50" s="25">
        <f>1240/'переходы'!C46</f>
        <v>3.457891801</v>
      </c>
      <c r="K50" s="25">
        <f>1240/'переходы'!F46</f>
        <v>3.109327984</v>
      </c>
      <c r="L50" s="25">
        <f>1240/'переходы'!I46</f>
        <v>3.44348792</v>
      </c>
      <c r="M50" s="25">
        <f>1240/'переходы'!L46</f>
        <v>3.171355499</v>
      </c>
      <c r="N50" s="25">
        <f>1240/'переходы'!O46</f>
        <v>2.978621187</v>
      </c>
      <c r="O50" s="25">
        <f>1240/'переходы'!$R47</f>
        <v>3.42920354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" t="s">
        <v>8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154</v>
      </c>
      <c r="H51" s="2"/>
      <c r="I51" s="4" t="s">
        <v>162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" t="s">
        <v>132</v>
      </c>
      <c r="B52" s="18">
        <f>('переходы'!$R80)^2</f>
        <v>186624</v>
      </c>
      <c r="C52" s="18">
        <f>('переходы'!$R80)^2</f>
        <v>186624</v>
      </c>
      <c r="D52" s="18">
        <f>('переходы'!$R80)^2</f>
        <v>186624</v>
      </c>
      <c r="E52" s="18">
        <f>('переходы'!$R80)^2</f>
        <v>186624</v>
      </c>
      <c r="F52" s="18">
        <f>('переходы'!$R80)^2</f>
        <v>186624</v>
      </c>
      <c r="G52" s="20">
        <v>0.165566352</v>
      </c>
      <c r="H52" s="2"/>
      <c r="I52" s="4" t="s">
        <v>168</v>
      </c>
      <c r="J52" s="25">
        <f>1240/'переходы'!C63</f>
        <v>2.459829399</v>
      </c>
      <c r="K52" s="25">
        <f>1240/'переходы'!F63</f>
        <v>2.513173895</v>
      </c>
      <c r="L52" s="25">
        <f>1240/'переходы'!I63</f>
        <v>2.254135612</v>
      </c>
      <c r="M52" s="25">
        <f>1240/'переходы'!L63</f>
        <v>2.214285714</v>
      </c>
      <c r="N52" s="25">
        <f>1240/'переходы'!O63</f>
        <v>2.729473916</v>
      </c>
      <c r="O52" s="25">
        <f>1240/'переходы'!$R63</f>
        <v>2.565163426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" t="s">
        <v>131</v>
      </c>
      <c r="B53" s="2">
        <f>(1240/'переходы'!$R81-1240/'переходы'!C81)^2</f>
        <v>0.09410569706</v>
      </c>
      <c r="C53" s="2">
        <f>(1240/'переходы'!$R81-1240/'переходы'!F80)^2</f>
        <v>0.02954670779</v>
      </c>
      <c r="D53" s="2">
        <f>(1240/'переходы'!$R81-1240/'переходы'!I81)^2</f>
        <v>0.07158086072</v>
      </c>
      <c r="E53" s="2">
        <f>(1240/'переходы'!$R81-1240/'переходы'!L81)^2</f>
        <v>0.09809703895</v>
      </c>
      <c r="F53" s="2">
        <f>(1240/'переходы'!$R81-1240/'переходы'!O80)^2</f>
        <v>0.01404658781</v>
      </c>
      <c r="G53" s="20">
        <v>0.009915595</v>
      </c>
      <c r="H53" s="2"/>
      <c r="I53" s="4" t="s">
        <v>172</v>
      </c>
      <c r="J53" s="25">
        <f>1240/'переходы'!C64</f>
        <v>2.981485934</v>
      </c>
      <c r="K53" s="25">
        <f>1240/'переходы'!F64</f>
        <v>2.921083628</v>
      </c>
      <c r="L53" s="25">
        <f>1240/'переходы'!I65</f>
        <v>3.019235452</v>
      </c>
      <c r="M53" s="25">
        <f>1240/'переходы'!L64</f>
        <v>2.842081137</v>
      </c>
      <c r="N53" s="25">
        <f>1240/'переходы'!O64</f>
        <v>2.919708029</v>
      </c>
      <c r="O53" s="25">
        <f>1240/'переходы'!$R65</f>
        <v>2.859778598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" t="s">
        <v>135</v>
      </c>
      <c r="B54" s="18">
        <f>('переходы'!$R82-'переходы'!C82)^2</f>
        <v>1004.89</v>
      </c>
      <c r="C54" s="18">
        <f>('переходы'!$R82-'переходы'!F84)^2</f>
        <v>309.76</v>
      </c>
      <c r="D54" s="18">
        <f>('переходы'!$R82-'переходы'!I82)^2</f>
        <v>368.64</v>
      </c>
      <c r="E54" s="18">
        <f>('переходы'!$R82-'переходы'!L83)^2</f>
        <v>876.16</v>
      </c>
      <c r="F54" s="18">
        <f>('переходы'!$R82-'переходы'!O85)^2</f>
        <v>1909.69</v>
      </c>
      <c r="G54" s="20">
        <v>8.7409E-5</v>
      </c>
      <c r="H54" s="2"/>
      <c r="I54" s="4" t="s">
        <v>170</v>
      </c>
      <c r="J54" s="25">
        <f>1240/'переходы'!C65</f>
        <v>3.237597911</v>
      </c>
      <c r="K54" s="25">
        <f>1240/'переходы'!F66</f>
        <v>3.422577974</v>
      </c>
      <c r="L54" s="25">
        <f>1240/'переходы'!I64</f>
        <v>2.746400886</v>
      </c>
      <c r="M54" s="25">
        <f>1240/'переходы'!L65</f>
        <v>3.016297738</v>
      </c>
      <c r="N54" s="25">
        <f>1240/'переходы'!O66</f>
        <v>3.878636221</v>
      </c>
      <c r="O54" s="25">
        <f>1240/'переходы'!$R66</f>
        <v>3.165688027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" t="s">
        <v>130</v>
      </c>
      <c r="B55" s="2">
        <f>(1240/'переходы'!$R83-1240/'переходы'!C80)^2</f>
        <v>1.605927773</v>
      </c>
      <c r="C55" s="2">
        <f>(1240/'переходы'!$R83-1240/'переходы'!F81)^2</f>
        <v>0.3539980923</v>
      </c>
      <c r="D55" s="2">
        <f>(1240/'переходы'!$R83-1240/'переходы'!I80)^2</f>
        <v>0.6418781878</v>
      </c>
      <c r="E55" s="2">
        <f>(1240/'переходы'!$R83-1240/'переходы'!L80)^2</f>
        <v>0.7476408046</v>
      </c>
      <c r="F55" s="2">
        <f>(1240/'переходы'!$R83-1240/'переходы'!O81)^2</f>
        <v>0.2200245936</v>
      </c>
      <c r="G55" s="20">
        <v>0.015463883</v>
      </c>
      <c r="H55" s="2"/>
      <c r="I55" s="4" t="s">
        <v>175</v>
      </c>
      <c r="J55" s="25">
        <f>1240/'переходы'!C68</f>
        <v>4.0090527</v>
      </c>
      <c r="K55" s="25">
        <f>1240/'переходы'!F72</f>
        <v>4.148544664</v>
      </c>
      <c r="L55" s="25">
        <f>1240/'переходы'!I68</f>
        <v>3.750756201</v>
      </c>
      <c r="M55" s="25">
        <f>1240/'переходы'!L69</f>
        <v>3.670811131</v>
      </c>
      <c r="N55" s="28">
        <f>1240/'переходы'!O67</f>
        <v>3.892027621</v>
      </c>
      <c r="O55" s="28">
        <f>1240/'переходы'!$R67</f>
        <v>3.823620105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" t="s">
        <v>139</v>
      </c>
      <c r="B56" s="2">
        <f>(1240/'переходы'!$R84-1240/'переходы'!C86)^2</f>
        <v>0.1434588061</v>
      </c>
      <c r="C56" s="2">
        <f>(1240/'переходы'!$R84-1240/'переходы'!F91)^2</f>
        <v>0.01262418939</v>
      </c>
      <c r="D56" s="2">
        <f>(1240/'переходы'!$R84-1240/'переходы'!I85)^2</f>
        <v>0.1637143536</v>
      </c>
      <c r="E56" s="2">
        <f>(1240/'переходы'!$R84-1240/'переходы'!L89)^2</f>
        <v>0.2966683704</v>
      </c>
      <c r="F56" s="4" t="s">
        <v>163</v>
      </c>
      <c r="G56" s="20">
        <v>0.031210653</v>
      </c>
      <c r="H56" s="2"/>
      <c r="I56" s="4" t="s">
        <v>164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" t="s">
        <v>142</v>
      </c>
      <c r="B57" s="2">
        <f>(1240/'переходы'!$R85-1240/'переходы'!C88)^2</f>
        <v>0.02765971906</v>
      </c>
      <c r="C57" s="4" t="s">
        <v>163</v>
      </c>
      <c r="D57" s="2">
        <f>(1240/'переходы'!$R85-1240/'переходы'!I86)^2</f>
        <v>0.09285665962</v>
      </c>
      <c r="E57" s="4" t="s">
        <v>163</v>
      </c>
      <c r="F57" s="2">
        <f>(1240/'переходы'!$R85-1240/'переходы'!O91)^2</f>
        <v>0.0002552241227</v>
      </c>
      <c r="G57" s="20">
        <v>0.359738632</v>
      </c>
      <c r="H57" s="2"/>
      <c r="I57" s="4" t="s">
        <v>168</v>
      </c>
      <c r="J57" s="28">
        <f>1240/'переходы'!C81</f>
        <v>2.981485934</v>
      </c>
      <c r="K57" s="28">
        <f>1240/'переходы'!F80</f>
        <v>3.116360895</v>
      </c>
      <c r="L57" s="28">
        <f>1240/'переходы'!I81</f>
        <v>3.020706456</v>
      </c>
      <c r="M57" s="28">
        <f>1240/'переходы'!L81</f>
        <v>2.975047985</v>
      </c>
      <c r="N57" s="28">
        <f>1240/'переходы'!O80</f>
        <v>3.169734151</v>
      </c>
      <c r="O57" s="25">
        <f>1240/'переходы'!$R81</f>
        <v>3.288252453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4" t="s">
        <v>172</v>
      </c>
      <c r="J58" s="25">
        <f>1240/'переходы'!C80</f>
        <v>2.459829399</v>
      </c>
      <c r="K58" s="25">
        <f>1240/'переходы'!F81</f>
        <v>3.132104067</v>
      </c>
      <c r="L58" s="25">
        <f>1240/'переходы'!I80</f>
        <v>2.925908447</v>
      </c>
      <c r="M58" s="25">
        <f>1240/'переходы'!L80</f>
        <v>2.862419206</v>
      </c>
      <c r="N58" s="25">
        <f>1240/'переходы'!O81</f>
        <v>3.258013663</v>
      </c>
      <c r="O58" s="25">
        <f>1240/'переходы'!$R83</f>
        <v>3.727081455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4" t="s">
        <v>174</v>
      </c>
      <c r="J59" s="25">
        <f>1240/'переходы'!C86</f>
        <v>4.016844833</v>
      </c>
      <c r="K59" s="25">
        <f>1240/'переходы'!F91</f>
        <v>4.283246978</v>
      </c>
      <c r="L59" s="25">
        <f>1240/'переходы'!I85</f>
        <v>3.990988091</v>
      </c>
      <c r="M59" s="25">
        <f>1240/'переходы'!L89</f>
        <v>3.850931677</v>
      </c>
      <c r="N59" s="4" t="s">
        <v>163</v>
      </c>
      <c r="O59" s="25">
        <f>1240/'переходы'!$R84</f>
        <v>4.395604396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4" t="s">
        <v>175</v>
      </c>
      <c r="J60" s="25">
        <f>1240/'переходы'!C88</f>
        <v>4.625139873</v>
      </c>
      <c r="K60" s="4" t="s">
        <v>163</v>
      </c>
      <c r="L60" s="25">
        <f>1240/'переходы'!I86</f>
        <v>4.154103853</v>
      </c>
      <c r="M60" s="4" t="s">
        <v>163</v>
      </c>
      <c r="N60" s="25">
        <f>1240/'переходы'!O91</f>
        <v>4.442852024</v>
      </c>
      <c r="O60" s="25">
        <f>1240/'переходы'!$R85</f>
        <v>4.45882776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J61" s="15" t="s">
        <v>152</v>
      </c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ref="J62:N62" si="25">J2</f>
        <v>BHandHLYP</v>
      </c>
      <c r="K62" s="2" t="str">
        <f t="shared" si="25"/>
        <v>CAM-B3LYP</v>
      </c>
      <c r="L62" s="2" t="str">
        <f t="shared" si="25"/>
        <v>M06-2X</v>
      </c>
      <c r="M62" s="2" t="str">
        <f t="shared" si="25"/>
        <v>PBE0</v>
      </c>
      <c r="N62" s="2" t="str">
        <f t="shared" si="25"/>
        <v>wB97X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9">
        <f t="shared" ref="J63:N63" si="26">J3</f>
        <v>1.659952212</v>
      </c>
      <c r="K63" s="29">
        <f t="shared" si="26"/>
        <v>1.048357119</v>
      </c>
      <c r="L63" s="29">
        <f t="shared" si="26"/>
        <v>1.392807709</v>
      </c>
      <c r="M63" s="29">
        <f t="shared" si="26"/>
        <v>1.417836419</v>
      </c>
      <c r="N63" s="29">
        <f t="shared" si="26"/>
        <v>1.754243383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15" t="s">
        <v>176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ref="J65:N65" si="27">J6</f>
        <v>BHandHLYP</v>
      </c>
      <c r="K65" s="2" t="str">
        <f t="shared" si="27"/>
        <v>CAM-B3LYP</v>
      </c>
      <c r="L65" s="2" t="str">
        <f t="shared" si="27"/>
        <v>M06-2X</v>
      </c>
      <c r="M65" s="2" t="str">
        <f t="shared" si="27"/>
        <v>PBE0</v>
      </c>
      <c r="N65" s="2" t="str">
        <f t="shared" si="27"/>
        <v>wB97X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9">
        <f t="shared" ref="J66:N66" si="28">J7</f>
        <v>0.4482416685</v>
      </c>
      <c r="K66" s="29">
        <f t="shared" si="28"/>
        <v>0.3730733793</v>
      </c>
      <c r="L66" s="29">
        <f t="shared" si="28"/>
        <v>0.4795486847</v>
      </c>
      <c r="M66" s="29">
        <f t="shared" si="28"/>
        <v>0.6827582895</v>
      </c>
      <c r="N66" s="29">
        <f t="shared" si="28"/>
        <v>0.7886246069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23">
    <mergeCell ref="A1:F1"/>
    <mergeCell ref="J1:N1"/>
    <mergeCell ref="A2:F2"/>
    <mergeCell ref="A3:F3"/>
    <mergeCell ref="J5:N5"/>
    <mergeCell ref="I10:N10"/>
    <mergeCell ref="I12:N12"/>
    <mergeCell ref="A17:F17"/>
    <mergeCell ref="I17:N17"/>
    <mergeCell ref="I23:N23"/>
    <mergeCell ref="I25:N25"/>
    <mergeCell ref="I30:N30"/>
    <mergeCell ref="A31:F31"/>
    <mergeCell ref="I36:O36"/>
    <mergeCell ref="J61:N61"/>
    <mergeCell ref="J64:N64"/>
    <mergeCell ref="I38:O38"/>
    <mergeCell ref="A40:F40"/>
    <mergeCell ref="I43:O43"/>
    <mergeCell ref="I49:O49"/>
    <mergeCell ref="A50:F50"/>
    <mergeCell ref="I51:O51"/>
    <mergeCell ref="I56:O56"/>
  </mergeCells>
  <conditionalFormatting sqref="J3:N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J7:N7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rawing r:id="rId1"/>
</worksheet>
</file>