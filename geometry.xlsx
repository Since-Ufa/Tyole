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Volumes/APEX/"/>
    </mc:Choice>
  </mc:AlternateContent>
  <xr:revisionPtr revIDLastSave="0" documentId="13_ncr:1_{DD2FE5C4-5CDE-8F43-B99A-B22B1CCE88F7}" xr6:coauthVersionLast="47" xr6:coauthVersionMax="47" xr10:uidLastSave="{00000000-0000-0000-0000-000000000000}"/>
  <bookViews>
    <workbookView xWindow="-38400" yWindow="520" windowWidth="38400" windowHeight="21100" tabRatio="500" activeTab="4" xr2:uid="{00000000-000D-0000-FFFF-FFFF00000000}"/>
  </bookViews>
  <sheets>
    <sheet name="SCH3" sheetId="1" r:id="rId1"/>
    <sheet name="Cys" sheetId="3" r:id="rId2"/>
    <sheet name="vac_coords" sheetId="4" r:id="rId3"/>
    <sheet name="wat_coords" sheetId="5" r:id="rId4"/>
    <sheet name="benchmark" sheetId="6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20" i="3" l="1"/>
  <c r="N24" i="3"/>
  <c r="N23" i="3"/>
  <c r="N22" i="3"/>
  <c r="N21" i="3"/>
  <c r="I19" i="3"/>
  <c r="I18" i="3"/>
  <c r="N17" i="3"/>
  <c r="I17" i="3"/>
  <c r="N16" i="3"/>
  <c r="D16" i="3"/>
  <c r="S15" i="3"/>
  <c r="N15" i="3"/>
  <c r="D15" i="3"/>
  <c r="S14" i="3"/>
  <c r="N14" i="3"/>
  <c r="I14" i="3"/>
  <c r="S13" i="3"/>
  <c r="N13" i="3"/>
  <c r="I13" i="3"/>
  <c r="S12" i="3"/>
  <c r="N12" i="3"/>
  <c r="I12" i="3"/>
  <c r="D12" i="3"/>
  <c r="S11" i="3"/>
  <c r="I11" i="3"/>
  <c r="D11" i="3"/>
  <c r="S10" i="3"/>
  <c r="D10" i="3"/>
  <c r="S9" i="3"/>
  <c r="N9" i="3"/>
  <c r="S8" i="3"/>
  <c r="N8" i="3"/>
  <c r="I8" i="3"/>
  <c r="S7" i="3"/>
  <c r="N7" i="3"/>
  <c r="I7" i="3"/>
  <c r="D7" i="3"/>
  <c r="S6" i="3"/>
  <c r="N6" i="3"/>
  <c r="I6" i="3"/>
  <c r="D6" i="3"/>
  <c r="S5" i="3"/>
  <c r="N5" i="3"/>
  <c r="I5" i="3"/>
  <c r="D5" i="3"/>
  <c r="S4" i="3"/>
  <c r="N4" i="3"/>
  <c r="I4" i="3"/>
  <c r="D4" i="3"/>
  <c r="N24" i="1"/>
  <c r="N23" i="1"/>
  <c r="N22" i="1"/>
  <c r="N21" i="1"/>
  <c r="N20" i="1"/>
  <c r="X22" i="1"/>
  <c r="X21" i="1"/>
  <c r="X20" i="1"/>
  <c r="X19" i="1"/>
  <c r="I19" i="1"/>
  <c r="X18" i="1"/>
  <c r="I18" i="1"/>
  <c r="X17" i="1"/>
  <c r="N17" i="1"/>
  <c r="I17" i="1"/>
  <c r="X16" i="1"/>
  <c r="N16" i="1"/>
  <c r="D16" i="1"/>
  <c r="X15" i="1"/>
  <c r="S15" i="1"/>
  <c r="N15" i="1"/>
  <c r="D15" i="1"/>
  <c r="X14" i="1"/>
  <c r="S14" i="1"/>
  <c r="N14" i="1"/>
  <c r="I14" i="1"/>
  <c r="X13" i="1"/>
  <c r="S13" i="1"/>
  <c r="N13" i="1"/>
  <c r="I13" i="1"/>
  <c r="X12" i="1"/>
  <c r="S12" i="1"/>
  <c r="N12" i="1"/>
  <c r="I12" i="1"/>
  <c r="D12" i="1"/>
  <c r="X11" i="1"/>
  <c r="S11" i="1"/>
  <c r="I11" i="1"/>
  <c r="D11" i="1"/>
  <c r="X10" i="1"/>
  <c r="S10" i="1"/>
  <c r="D10" i="1"/>
  <c r="X9" i="1"/>
  <c r="S9" i="1"/>
  <c r="N9" i="1"/>
  <c r="X8" i="1"/>
  <c r="S8" i="1"/>
  <c r="N8" i="1"/>
  <c r="I8" i="1"/>
  <c r="X7" i="1"/>
  <c r="S7" i="1"/>
  <c r="N7" i="1"/>
  <c r="I7" i="1"/>
  <c r="D7" i="1"/>
  <c r="X6" i="1"/>
  <c r="S6" i="1"/>
  <c r="N6" i="1"/>
  <c r="I6" i="1"/>
  <c r="D6" i="1"/>
  <c r="X5" i="1"/>
  <c r="S5" i="1"/>
  <c r="N5" i="1"/>
  <c r="I5" i="1"/>
  <c r="D5" i="1"/>
  <c r="X4" i="1"/>
  <c r="S4" i="1"/>
  <c r="N4" i="1"/>
  <c r="I4" i="1"/>
  <c r="D4" i="1"/>
</calcChain>
</file>

<file path=xl/sharedStrings.xml><?xml version="1.0" encoding="utf-8"?>
<sst xmlns="http://schemas.openxmlformats.org/spreadsheetml/2006/main" count="844" uniqueCount="103">
  <si>
    <t>CuL2</t>
  </si>
  <si>
    <t>Cu2L2</t>
  </si>
  <si>
    <t>Cu3L2</t>
  </si>
  <si>
    <t>Cu4L3</t>
  </si>
  <si>
    <t>Cu5L4</t>
  </si>
  <si>
    <t>длины связей (Å)</t>
  </si>
  <si>
    <t>атомы</t>
  </si>
  <si>
    <t>вакуум</t>
  </si>
  <si>
    <t>вода</t>
  </si>
  <si>
    <t>разность</t>
  </si>
  <si>
    <t>C2-S2</t>
  </si>
  <si>
    <t>C1-S1</t>
  </si>
  <si>
    <t>S2-Cu1</t>
  </si>
  <si>
    <t>S2-Cu3</t>
  </si>
  <si>
    <t>C3-S3</t>
  </si>
  <si>
    <t>S1-Cu1</t>
  </si>
  <si>
    <t>S1-Cu2</t>
  </si>
  <si>
    <t>S1-Cu3</t>
  </si>
  <si>
    <t>S1-Cu4</t>
  </si>
  <si>
    <t>C4-S4</t>
  </si>
  <si>
    <t>валентные углы (º)</t>
  </si>
  <si>
    <t>Cu1-Cu2</t>
  </si>
  <si>
    <t>C2-S2-Cu1</t>
  </si>
  <si>
    <t>S2-Cu1-S1</t>
  </si>
  <si>
    <t>S3-Cu4</t>
  </si>
  <si>
    <t>S2-Cu4</t>
  </si>
  <si>
    <t>C1-S1-Cu1</t>
  </si>
  <si>
    <t>S2-Cu1-Cu2</t>
  </si>
  <si>
    <t>C2-S2-Cu3</t>
  </si>
  <si>
    <t>S3-Cu3</t>
  </si>
  <si>
    <t>S3-Cu1</t>
  </si>
  <si>
    <t>дигедральные углы (º)</t>
  </si>
  <si>
    <t>S1-Cu2-Cu1</t>
  </si>
  <si>
    <t>S2-Cu3-S1</t>
  </si>
  <si>
    <t>S3-Cu5</t>
  </si>
  <si>
    <t>C1-S1-Cu2</t>
  </si>
  <si>
    <t>C1-S1-Cu3</t>
  </si>
  <si>
    <t>Cu3-Cu1</t>
  </si>
  <si>
    <t>S4-Cu5</t>
  </si>
  <si>
    <t>C2-S2-Cu1-S1</t>
  </si>
  <si>
    <t>Cu2-Cu4</t>
  </si>
  <si>
    <t>S4-Cu2</t>
  </si>
  <si>
    <t>C1-S1-Cu1-S2</t>
  </si>
  <si>
    <t>Cu1-S1-Cu3</t>
  </si>
  <si>
    <t>Cu1-Cu3</t>
  </si>
  <si>
    <t>C2-S2-Cu1-Cu2</t>
  </si>
  <si>
    <t>S1-Cu1-Cu2</t>
  </si>
  <si>
    <t>Cu1-Cu4</t>
  </si>
  <si>
    <t>C1-S1-Cu2-Cu1</t>
  </si>
  <si>
    <t>S2-Cu1-Cu2-S1</t>
  </si>
  <si>
    <t>Cu1-Cu5</t>
  </si>
  <si>
    <t>C2-S2-Cu3-S1</t>
  </si>
  <si>
    <t>Cu3-Cu4</t>
  </si>
  <si>
    <t>S2-Cu3-S1-C1</t>
  </si>
  <si>
    <t>Cu4-Cu2</t>
  </si>
  <si>
    <t>S2-Cu3-S1-Cu1</t>
  </si>
  <si>
    <t>Cu2-Cu5</t>
  </si>
  <si>
    <t>Cu3-S1-Cu1-Cu2</t>
  </si>
  <si>
    <t>C1-S1-Cu1-Cu2</t>
  </si>
  <si>
    <t>CuCys2</t>
  </si>
  <si>
    <t>Cu2Cys2</t>
  </si>
  <si>
    <t>Cu3Cys2</t>
  </si>
  <si>
    <t>Cu4Cys3</t>
  </si>
  <si>
    <t>Cu5Cys4</t>
  </si>
  <si>
    <t>C2-S1</t>
  </si>
  <si>
    <t>C5-S2</t>
  </si>
  <si>
    <t>C1-S2</t>
  </si>
  <si>
    <t>C4-S1</t>
  </si>
  <si>
    <t>C7-S2</t>
  </si>
  <si>
    <t>C4-S3</t>
  </si>
  <si>
    <t>C7-S3</t>
  </si>
  <si>
    <t>C10-S4</t>
  </si>
  <si>
    <t>—</t>
  </si>
  <si>
    <t>C2-S1-Cu1</t>
  </si>
  <si>
    <t>C2-S1-Cu1-S2</t>
  </si>
  <si>
    <t>C5-S2-Cu1-S1</t>
  </si>
  <si>
    <t>S1-Cu1-S2</t>
  </si>
  <si>
    <t>C5-S2-Cu1</t>
  </si>
  <si>
    <t>C2-S1-Cu2</t>
  </si>
  <si>
    <t>C2-S1-Cu2-Cu1</t>
  </si>
  <si>
    <t>C5-S2-Cu1-Cu2</t>
  </si>
  <si>
    <t>C1-S2-Cu3</t>
  </si>
  <si>
    <t>C4-S1-Cu3</t>
  </si>
  <si>
    <t>Cu3-S1-Cu1</t>
  </si>
  <si>
    <t>C4-S1-Cu1</t>
  </si>
  <si>
    <t>C1-S2-Cu3-S1</t>
  </si>
  <si>
    <t>S2-Cu3-S1-C4</t>
  </si>
  <si>
    <t>C4-S1-Cu1-Cu2</t>
  </si>
  <si>
    <t>[Cu(SCH3)2]^{-1}</t>
  </si>
  <si>
    <t>[Cu2(SCH3)2]^{-2}</t>
  </si>
  <si>
    <t>[Cu3(SCH3)2]^{-1}</t>
  </si>
  <si>
    <t>[Cu4(SCH3)3]^{-1}</t>
  </si>
  <si>
    <t>[Cu5(SCH3)4]^{-1}</t>
  </si>
  <si>
    <t>Cu</t>
  </si>
  <si>
    <t>S</t>
  </si>
  <si>
    <t>C</t>
  </si>
  <si>
    <t>H</t>
  </si>
  <si>
    <t>O</t>
  </si>
  <si>
    <t>N</t>
  </si>
  <si>
    <t>[Cu(Cys)2]^{-1}</t>
  </si>
  <si>
    <t>[Cu2(Cys)2]^{-2}</t>
  </si>
  <si>
    <t>[Cu3(Cys)2]^{-1}</t>
  </si>
  <si>
    <t>[Cu4(Cys)3]^{-1}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</si>
</sst>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5" x14ac:knownFonts="1">
    <font>
      <sz val="12"/>
      <color theme="1"/>
      <name val="Aptos Narrow"/>
      <family val="2"/>
      <charset val="1"/>
    </font>
    <font>
      <b/>
      <sz val="12"/>
      <color theme="1"/>
      <name val="Aptos Narrow"/>
    </font>
    <font>
      <i/>
      <sz val="12"/>
      <color theme="1"/>
      <name val="Aptos Narrow"/>
    </font>
    <font>
      <b/>
      <sz val="12"/>
      <color theme="1"/>
      <name val="Aptos Narrow"/>
    </font>
    <font>
      <b/>
      <sz val="12"/>
      <color rgb="FF00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/>
    <xf numFmtId="165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/>
  </cellXfs>
  <cellStyles count="1">
    <cellStyle name="Normal" xfId="0" builtinId="0"/>
  </cellStyles>
  <dxfs count="6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1"/>
  <sheetViews>
    <sheetView zoomScale="164" zoomScaleNormal="164" workbookViewId="0">
      <selection sqref="A1:X1"/>
    </sheetView>
  </sheetViews>
  <sheetFormatPr baseColWidth="10" defaultColWidth="10.83203125" defaultRowHeight="15.75" customHeight="1" x14ac:dyDescent="0.2"/>
  <cols>
    <col min="1" max="1" width="14.1640625" style="3" customWidth="1"/>
    <col min="2" max="4" width="10.83203125" style="3"/>
    <col min="5" max="5" width="3.33203125" style="3" customWidth="1"/>
    <col min="6" max="6" width="14.1640625" style="3" customWidth="1"/>
    <col min="7" max="9" width="10.83203125" style="3"/>
    <col min="10" max="10" width="3.1640625" style="3" customWidth="1"/>
    <col min="11" max="11" width="15.1640625" style="3" customWidth="1"/>
    <col min="12" max="14" width="10.83203125" style="3"/>
    <col min="15" max="15" width="3" style="3" customWidth="1"/>
    <col min="16" max="16" width="15.1640625" style="3" customWidth="1"/>
    <col min="17" max="19" width="10.83203125" style="3"/>
    <col min="20" max="20" width="3.83203125" style="3" customWidth="1"/>
    <col min="21" max="21" width="15.1640625" style="3" customWidth="1"/>
    <col min="22" max="16384" width="10.83203125" style="3"/>
  </cols>
  <sheetData>
    <row r="1" spans="1:24" x14ac:dyDescent="0.2">
      <c r="A1" s="9" t="s">
        <v>0</v>
      </c>
      <c r="B1" s="9"/>
      <c r="C1" s="9"/>
      <c r="D1" s="9"/>
      <c r="E1" s="2"/>
      <c r="F1" s="9" t="s">
        <v>1</v>
      </c>
      <c r="G1" s="9"/>
      <c r="H1" s="9"/>
      <c r="I1" s="9"/>
      <c r="J1" s="2"/>
      <c r="K1" s="9" t="s">
        <v>2</v>
      </c>
      <c r="L1" s="9"/>
      <c r="M1" s="9"/>
      <c r="N1" s="9"/>
      <c r="P1" s="9" t="s">
        <v>3</v>
      </c>
      <c r="Q1" s="9"/>
      <c r="R1" s="9"/>
      <c r="S1" s="9"/>
      <c r="U1" s="9" t="s">
        <v>4</v>
      </c>
      <c r="V1" s="9"/>
      <c r="W1" s="9"/>
      <c r="X1" s="9"/>
    </row>
    <row r="2" spans="1:24" x14ac:dyDescent="0.2">
      <c r="A2" s="8" t="s">
        <v>5</v>
      </c>
      <c r="B2" s="8"/>
      <c r="C2" s="8"/>
      <c r="D2" s="8"/>
      <c r="E2" s="1"/>
      <c r="F2" s="8" t="s">
        <v>5</v>
      </c>
      <c r="G2" s="8"/>
      <c r="H2" s="8"/>
      <c r="I2" s="8"/>
      <c r="J2" s="1"/>
      <c r="K2" s="8" t="s">
        <v>5</v>
      </c>
      <c r="L2" s="8"/>
      <c r="M2" s="8"/>
      <c r="N2" s="8"/>
      <c r="P2" s="8" t="s">
        <v>5</v>
      </c>
      <c r="Q2" s="8"/>
      <c r="R2" s="8"/>
      <c r="S2" s="8"/>
      <c r="U2" s="8" t="s">
        <v>5</v>
      </c>
      <c r="V2" s="8"/>
      <c r="W2" s="8"/>
      <c r="X2" s="8"/>
    </row>
    <row r="3" spans="1:24" x14ac:dyDescent="0.2">
      <c r="A3" s="3" t="s">
        <v>6</v>
      </c>
      <c r="B3" s="3" t="s">
        <v>7</v>
      </c>
      <c r="C3" s="3" t="s">
        <v>8</v>
      </c>
      <c r="D3" s="3" t="s">
        <v>9</v>
      </c>
      <c r="F3" s="3" t="s">
        <v>6</v>
      </c>
      <c r="G3" s="3" t="s">
        <v>7</v>
      </c>
      <c r="H3" s="3" t="s">
        <v>8</v>
      </c>
      <c r="I3" s="3" t="s">
        <v>9</v>
      </c>
      <c r="K3" s="3" t="s">
        <v>6</v>
      </c>
      <c r="L3" s="3" t="s">
        <v>7</v>
      </c>
      <c r="M3" s="3" t="s">
        <v>8</v>
      </c>
      <c r="N3" s="3" t="s">
        <v>9</v>
      </c>
      <c r="P3" s="3" t="s">
        <v>6</v>
      </c>
      <c r="Q3" s="3" t="s">
        <v>7</v>
      </c>
      <c r="R3" s="3" t="s">
        <v>8</v>
      </c>
      <c r="S3" s="3" t="s">
        <v>9</v>
      </c>
      <c r="U3" s="3" t="s">
        <v>6</v>
      </c>
      <c r="V3" s="3" t="s">
        <v>7</v>
      </c>
      <c r="W3" s="3" t="s">
        <v>8</v>
      </c>
      <c r="X3" s="3" t="s">
        <v>9</v>
      </c>
    </row>
    <row r="4" spans="1:24" x14ac:dyDescent="0.2">
      <c r="A4" s="3" t="s">
        <v>10</v>
      </c>
      <c r="B4" s="3">
        <v>1.8280000000000001</v>
      </c>
      <c r="C4" s="3">
        <v>1.833</v>
      </c>
      <c r="D4" s="4">
        <f>B4-C4</f>
        <v>-4.9999999999998934E-3</v>
      </c>
      <c r="F4" s="3" t="s">
        <v>10</v>
      </c>
      <c r="G4" s="4">
        <v>1.827</v>
      </c>
      <c r="H4" s="4">
        <v>1.8360000000000001</v>
      </c>
      <c r="I4" s="4">
        <f>G4-H4</f>
        <v>-9.000000000000119E-3</v>
      </c>
      <c r="K4" s="3" t="s">
        <v>10</v>
      </c>
      <c r="L4" s="4">
        <v>1.831</v>
      </c>
      <c r="M4" s="4">
        <v>1.835</v>
      </c>
      <c r="N4" s="4">
        <f t="shared" ref="N4:N9" si="0">L4-M4</f>
        <v>-4.0000000000000036E-3</v>
      </c>
      <c r="P4" s="3" t="s">
        <v>11</v>
      </c>
      <c r="Q4" s="4">
        <v>1.83</v>
      </c>
      <c r="R4" s="4">
        <v>1.8340000000000001</v>
      </c>
      <c r="S4" s="4">
        <f t="shared" ref="S4:S15" si="1">Q4-R4</f>
        <v>-4.0000000000000036E-3</v>
      </c>
      <c r="U4" s="3" t="s">
        <v>11</v>
      </c>
      <c r="V4" s="4">
        <v>1.8280000000000001</v>
      </c>
      <c r="W4" s="4">
        <v>1.831</v>
      </c>
      <c r="X4" s="4">
        <f t="shared" ref="X4:X22" si="2">V4-W4</f>
        <v>-2.9999999999998916E-3</v>
      </c>
    </row>
    <row r="5" spans="1:24" x14ac:dyDescent="0.2">
      <c r="A5" s="3" t="s">
        <v>11</v>
      </c>
      <c r="B5" s="3">
        <v>1.827</v>
      </c>
      <c r="C5" s="3">
        <v>1.833</v>
      </c>
      <c r="D5" s="4">
        <f>B5-C5</f>
        <v>-6.0000000000000053E-3</v>
      </c>
      <c r="F5" s="3" t="s">
        <v>11</v>
      </c>
      <c r="G5" s="4">
        <v>1.827</v>
      </c>
      <c r="H5" s="4">
        <v>1.835</v>
      </c>
      <c r="I5" s="4">
        <f>G5-H5</f>
        <v>-8.0000000000000071E-3</v>
      </c>
      <c r="K5" s="3" t="s">
        <v>11</v>
      </c>
      <c r="L5" s="4">
        <v>1.831</v>
      </c>
      <c r="M5" s="4">
        <v>1.8340000000000001</v>
      </c>
      <c r="N5" s="4">
        <f t="shared" si="0"/>
        <v>-3.0000000000001137E-3</v>
      </c>
      <c r="P5" s="3" t="s">
        <v>10</v>
      </c>
      <c r="Q5" s="4">
        <v>1.83</v>
      </c>
      <c r="R5" s="4">
        <v>1.8340000000000001</v>
      </c>
      <c r="S5" s="4">
        <f t="shared" si="1"/>
        <v>-4.0000000000000036E-3</v>
      </c>
      <c r="U5" s="3" t="s">
        <v>10</v>
      </c>
      <c r="V5" s="4">
        <v>1.833</v>
      </c>
      <c r="W5" s="4">
        <v>1.8360000000000001</v>
      </c>
      <c r="X5" s="4">
        <f t="shared" si="2"/>
        <v>-3.0000000000001137E-3</v>
      </c>
    </row>
    <row r="6" spans="1:24" x14ac:dyDescent="0.2">
      <c r="A6" s="3" t="s">
        <v>12</v>
      </c>
      <c r="B6" s="3">
        <v>2.133</v>
      </c>
      <c r="C6" s="3">
        <v>2.129</v>
      </c>
      <c r="D6" s="4">
        <f>B6-C6</f>
        <v>4.0000000000000036E-3</v>
      </c>
      <c r="F6" s="3" t="s">
        <v>12</v>
      </c>
      <c r="G6" s="4">
        <v>2.2570000000000001</v>
      </c>
      <c r="H6" s="4">
        <v>2.1869999999999998</v>
      </c>
      <c r="I6" s="4">
        <f>G6-H6</f>
        <v>7.0000000000000284E-2</v>
      </c>
      <c r="K6" s="3" t="s">
        <v>13</v>
      </c>
      <c r="L6" s="4">
        <v>2.12</v>
      </c>
      <c r="M6" s="4">
        <v>2.1320000000000001</v>
      </c>
      <c r="N6" s="4">
        <f t="shared" si="0"/>
        <v>-1.2000000000000011E-2</v>
      </c>
      <c r="P6" s="3" t="s">
        <v>14</v>
      </c>
      <c r="Q6" s="4">
        <v>1.837</v>
      </c>
      <c r="R6" s="4">
        <v>1.835</v>
      </c>
      <c r="S6" s="4">
        <f t="shared" si="1"/>
        <v>2.0000000000000018E-3</v>
      </c>
      <c r="U6" s="3" t="s">
        <v>14</v>
      </c>
      <c r="V6" s="4">
        <v>1.8280000000000001</v>
      </c>
      <c r="W6" s="4">
        <v>1.83</v>
      </c>
      <c r="X6" s="4">
        <f t="shared" si="2"/>
        <v>-2.0000000000000018E-3</v>
      </c>
    </row>
    <row r="7" spans="1:24" x14ac:dyDescent="0.2">
      <c r="A7" s="3" t="s">
        <v>15</v>
      </c>
      <c r="B7" s="3">
        <v>2.1320000000000001</v>
      </c>
      <c r="C7" s="3">
        <v>2.13</v>
      </c>
      <c r="D7" s="4">
        <f>B7-C7</f>
        <v>2.0000000000002238E-3</v>
      </c>
      <c r="F7" s="3" t="s">
        <v>16</v>
      </c>
      <c r="G7" s="4">
        <v>2.2559999999999998</v>
      </c>
      <c r="H7" s="4">
        <v>2.1829999999999998</v>
      </c>
      <c r="I7" s="4">
        <f>G7-H7</f>
        <v>7.2999999999999954E-2</v>
      </c>
      <c r="K7" s="3" t="s">
        <v>17</v>
      </c>
      <c r="L7" s="4">
        <v>2.1429999999999998</v>
      </c>
      <c r="M7" s="4">
        <v>2.16</v>
      </c>
      <c r="N7" s="4">
        <f t="shared" si="0"/>
        <v>-1.7000000000000348E-2</v>
      </c>
      <c r="P7" s="3" t="s">
        <v>18</v>
      </c>
      <c r="Q7" s="4">
        <v>2.1859999999999999</v>
      </c>
      <c r="R7" s="4">
        <v>2.2120000000000002</v>
      </c>
      <c r="S7" s="4">
        <f t="shared" si="1"/>
        <v>-2.6000000000000245E-2</v>
      </c>
      <c r="U7" s="3" t="s">
        <v>19</v>
      </c>
      <c r="V7" s="4">
        <v>1.8320000000000001</v>
      </c>
      <c r="W7" s="4">
        <v>1.835</v>
      </c>
      <c r="X7" s="4">
        <f t="shared" si="2"/>
        <v>-2.9999999999998916E-3</v>
      </c>
    </row>
    <row r="8" spans="1:24" x14ac:dyDescent="0.2">
      <c r="A8" s="8" t="s">
        <v>20</v>
      </c>
      <c r="B8" s="8"/>
      <c r="C8" s="8"/>
      <c r="D8" s="8"/>
      <c r="E8" s="1"/>
      <c r="F8" s="3" t="s">
        <v>21</v>
      </c>
      <c r="G8" s="4">
        <v>2.3940000000000001</v>
      </c>
      <c r="H8" s="4">
        <v>2.355</v>
      </c>
      <c r="I8" s="4">
        <f>G8-H8</f>
        <v>3.9000000000000146E-2</v>
      </c>
      <c r="K8" s="3" t="s">
        <v>15</v>
      </c>
      <c r="L8" s="4">
        <v>2.173</v>
      </c>
      <c r="M8" s="4">
        <v>2.1840000000000002</v>
      </c>
      <c r="N8" s="4">
        <f t="shared" si="0"/>
        <v>-1.1000000000000121E-2</v>
      </c>
      <c r="P8" s="3" t="s">
        <v>16</v>
      </c>
      <c r="Q8" s="4">
        <v>2.2519999999999998</v>
      </c>
      <c r="R8" s="4">
        <v>2.2090000000000001</v>
      </c>
      <c r="S8" s="4">
        <f t="shared" si="1"/>
        <v>4.2999999999999705E-2</v>
      </c>
      <c r="U8" s="3" t="s">
        <v>17</v>
      </c>
      <c r="V8" s="4">
        <v>2.133</v>
      </c>
      <c r="W8" s="4">
        <v>2.1459999999999999</v>
      </c>
      <c r="X8" s="4">
        <f t="shared" si="2"/>
        <v>-1.2999999999999901E-2</v>
      </c>
    </row>
    <row r="9" spans="1:24" x14ac:dyDescent="0.2">
      <c r="A9" s="3" t="s">
        <v>6</v>
      </c>
      <c r="B9" s="3" t="s">
        <v>7</v>
      </c>
      <c r="C9" s="3" t="s">
        <v>8</v>
      </c>
      <c r="D9" s="3" t="s">
        <v>9</v>
      </c>
      <c r="F9" s="8" t="s">
        <v>20</v>
      </c>
      <c r="G9" s="8"/>
      <c r="H9" s="8"/>
      <c r="I9" s="8"/>
      <c r="K9" s="3" t="s">
        <v>21</v>
      </c>
      <c r="L9" s="4">
        <v>2.3210000000000002</v>
      </c>
      <c r="M9" s="4">
        <v>2.3109999999999999</v>
      </c>
      <c r="N9" s="4">
        <f t="shared" si="0"/>
        <v>1.0000000000000231E-2</v>
      </c>
      <c r="P9" s="3" t="s">
        <v>12</v>
      </c>
      <c r="Q9" s="4">
        <v>2.2530000000000001</v>
      </c>
      <c r="R9" s="4">
        <v>2.2120000000000002</v>
      </c>
      <c r="S9" s="4">
        <f t="shared" si="1"/>
        <v>4.0999999999999925E-2</v>
      </c>
      <c r="U9" s="3" t="s">
        <v>15</v>
      </c>
      <c r="V9" s="4">
        <v>2.2989999999999999</v>
      </c>
      <c r="W9" s="4">
        <v>2.2589999999999999</v>
      </c>
      <c r="X9" s="4">
        <f t="shared" si="2"/>
        <v>4.0000000000000036E-2</v>
      </c>
    </row>
    <row r="10" spans="1:24" x14ac:dyDescent="0.2">
      <c r="A10" s="3" t="s">
        <v>22</v>
      </c>
      <c r="B10" s="7">
        <v>103.84</v>
      </c>
      <c r="C10" s="7">
        <v>103.764</v>
      </c>
      <c r="D10" s="7">
        <f>B10-C10</f>
        <v>7.6000000000007617E-2</v>
      </c>
      <c r="F10" s="3" t="s">
        <v>6</v>
      </c>
      <c r="G10" s="3" t="s">
        <v>7</v>
      </c>
      <c r="H10" s="3" t="s">
        <v>8</v>
      </c>
      <c r="I10" s="3" t="s">
        <v>9</v>
      </c>
      <c r="K10" s="8" t="s">
        <v>20</v>
      </c>
      <c r="L10" s="8"/>
      <c r="M10" s="8"/>
      <c r="N10" s="8"/>
      <c r="P10" s="3" t="s">
        <v>13</v>
      </c>
      <c r="Q10" s="4">
        <v>2.1850000000000001</v>
      </c>
      <c r="R10" s="4">
        <v>2.21</v>
      </c>
      <c r="S10" s="4">
        <f t="shared" si="1"/>
        <v>-2.4999999999999911E-2</v>
      </c>
      <c r="U10" s="3" t="s">
        <v>13</v>
      </c>
      <c r="V10" s="4">
        <v>2.1709999999999998</v>
      </c>
      <c r="W10" s="4">
        <v>2.1789999999999998</v>
      </c>
      <c r="X10" s="4">
        <f t="shared" si="2"/>
        <v>-8.0000000000000071E-3</v>
      </c>
    </row>
    <row r="11" spans="1:24" x14ac:dyDescent="0.2">
      <c r="A11" s="3" t="s">
        <v>23</v>
      </c>
      <c r="B11" s="7">
        <v>179.39</v>
      </c>
      <c r="C11" s="7">
        <v>179.36799999999999</v>
      </c>
      <c r="D11" s="7">
        <f>B11-C11</f>
        <v>2.199999999999136E-2</v>
      </c>
      <c r="F11" s="3" t="s">
        <v>22</v>
      </c>
      <c r="G11" s="7">
        <v>100.11</v>
      </c>
      <c r="H11" s="7">
        <v>97.082999999999998</v>
      </c>
      <c r="I11" s="7">
        <f>G11-H11</f>
        <v>3.027000000000001</v>
      </c>
      <c r="K11" s="3" t="s">
        <v>6</v>
      </c>
      <c r="L11" s="3" t="s">
        <v>7</v>
      </c>
      <c r="M11" s="3" t="s">
        <v>8</v>
      </c>
      <c r="N11" s="3" t="s">
        <v>9</v>
      </c>
      <c r="P11" s="3" t="s">
        <v>24</v>
      </c>
      <c r="Q11" s="4">
        <v>2.1659999999999999</v>
      </c>
      <c r="R11" s="4">
        <v>2.173</v>
      </c>
      <c r="S11" s="4">
        <f t="shared" si="1"/>
        <v>-7.0000000000001172E-3</v>
      </c>
      <c r="U11" s="3" t="s">
        <v>25</v>
      </c>
      <c r="V11" s="4">
        <v>2.2360000000000002</v>
      </c>
      <c r="W11" s="4">
        <v>2.2269999999999999</v>
      </c>
      <c r="X11" s="4">
        <f t="shared" si="2"/>
        <v>9.0000000000003411E-3</v>
      </c>
    </row>
    <row r="12" spans="1:24" x14ac:dyDescent="0.2">
      <c r="A12" s="3" t="s">
        <v>26</v>
      </c>
      <c r="B12" s="7">
        <v>104.09</v>
      </c>
      <c r="C12" s="7">
        <v>104.07599999999999</v>
      </c>
      <c r="D12" s="7">
        <f>B12-C12</f>
        <v>1.4000000000010004E-2</v>
      </c>
      <c r="F12" s="3" t="s">
        <v>27</v>
      </c>
      <c r="G12" s="7">
        <v>177.61</v>
      </c>
      <c r="H12" s="7">
        <v>172.786</v>
      </c>
      <c r="I12" s="7">
        <f>G12-H12</f>
        <v>4.8240000000000123</v>
      </c>
      <c r="K12" s="3" t="s">
        <v>28</v>
      </c>
      <c r="L12" s="7">
        <v>102.29</v>
      </c>
      <c r="M12" s="7">
        <v>100.22799999999999</v>
      </c>
      <c r="N12" s="7">
        <f t="shared" ref="N12:N17" si="3">L12-M12</f>
        <v>2.0620000000000118</v>
      </c>
      <c r="P12" s="3" t="s">
        <v>29</v>
      </c>
      <c r="Q12" s="4">
        <v>2.1659999999999999</v>
      </c>
      <c r="R12" s="4">
        <v>2.173</v>
      </c>
      <c r="S12" s="4">
        <f t="shared" si="1"/>
        <v>-7.0000000000001172E-3</v>
      </c>
      <c r="U12" s="3" t="s">
        <v>30</v>
      </c>
      <c r="V12" s="4">
        <v>2.2959999999999998</v>
      </c>
      <c r="W12" s="4">
        <v>2.258</v>
      </c>
      <c r="X12" s="4">
        <f t="shared" si="2"/>
        <v>3.7999999999999812E-2</v>
      </c>
    </row>
    <row r="13" spans="1:24" x14ac:dyDescent="0.2">
      <c r="A13" s="8" t="s">
        <v>31</v>
      </c>
      <c r="B13" s="8"/>
      <c r="C13" s="8"/>
      <c r="D13" s="8"/>
      <c r="E13" s="1"/>
      <c r="F13" s="3" t="s">
        <v>32</v>
      </c>
      <c r="G13" s="7">
        <v>178.25</v>
      </c>
      <c r="H13" s="7">
        <v>175.64400000000001</v>
      </c>
      <c r="I13" s="7">
        <f>G13-H13</f>
        <v>2.6059999999999945</v>
      </c>
      <c r="K13" s="3" t="s">
        <v>33</v>
      </c>
      <c r="L13" s="7">
        <v>179.3</v>
      </c>
      <c r="M13" s="7">
        <v>178.93799999999999</v>
      </c>
      <c r="N13" s="7">
        <f t="shared" si="3"/>
        <v>0.36200000000002319</v>
      </c>
      <c r="P13" s="3" t="s">
        <v>21</v>
      </c>
      <c r="Q13" s="4">
        <v>2.3069999999999999</v>
      </c>
      <c r="R13" s="4">
        <v>2.3159999999999998</v>
      </c>
      <c r="S13" s="4">
        <f t="shared" si="1"/>
        <v>-8.999999999999897E-3</v>
      </c>
      <c r="U13" s="3" t="s">
        <v>34</v>
      </c>
      <c r="V13" s="4">
        <v>2.1339999999999999</v>
      </c>
      <c r="W13" s="4">
        <v>2.1440000000000001</v>
      </c>
      <c r="X13" s="4">
        <f t="shared" si="2"/>
        <v>-1.0000000000000231E-2</v>
      </c>
    </row>
    <row r="14" spans="1:24" x14ac:dyDescent="0.2">
      <c r="A14" s="3" t="s">
        <v>6</v>
      </c>
      <c r="B14" s="3" t="s">
        <v>7</v>
      </c>
      <c r="C14" s="3" t="s">
        <v>8</v>
      </c>
      <c r="D14" s="3" t="s">
        <v>9</v>
      </c>
      <c r="F14" s="3" t="s">
        <v>35</v>
      </c>
      <c r="G14" s="7">
        <v>100.54</v>
      </c>
      <c r="H14" s="7">
        <v>98.896000000000001</v>
      </c>
      <c r="I14" s="7">
        <f>G14-H14</f>
        <v>1.6440000000000055</v>
      </c>
      <c r="K14" s="3" t="s">
        <v>36</v>
      </c>
      <c r="L14" s="7">
        <v>104.77</v>
      </c>
      <c r="M14" s="7">
        <v>103.021</v>
      </c>
      <c r="N14" s="7">
        <f t="shared" si="3"/>
        <v>1.7489999999999952</v>
      </c>
      <c r="P14" s="3" t="s">
        <v>37</v>
      </c>
      <c r="Q14" s="4">
        <v>2.5089999999999999</v>
      </c>
      <c r="R14" s="4">
        <v>2.516</v>
      </c>
      <c r="S14" s="4">
        <f t="shared" si="1"/>
        <v>-7.0000000000001172E-3</v>
      </c>
      <c r="U14" s="3" t="s">
        <v>38</v>
      </c>
      <c r="V14" s="4">
        <v>2.1720000000000002</v>
      </c>
      <c r="W14" s="4">
        <v>2.1800000000000002</v>
      </c>
      <c r="X14" s="4">
        <f t="shared" si="2"/>
        <v>-8.0000000000000071E-3</v>
      </c>
    </row>
    <row r="15" spans="1:24" x14ac:dyDescent="0.2">
      <c r="A15" s="3" t="s">
        <v>39</v>
      </c>
      <c r="B15" s="7">
        <v>-80.03</v>
      </c>
      <c r="C15" s="7">
        <v>-70.875</v>
      </c>
      <c r="D15" s="7">
        <f>B15-C15</f>
        <v>-9.1550000000000011</v>
      </c>
      <c r="F15" s="8" t="s">
        <v>31</v>
      </c>
      <c r="G15" s="8"/>
      <c r="H15" s="8"/>
      <c r="I15" s="8"/>
      <c r="K15" s="3" t="s">
        <v>26</v>
      </c>
      <c r="L15" s="7">
        <v>103.75</v>
      </c>
      <c r="M15" s="7">
        <v>103.768</v>
      </c>
      <c r="N15" s="7">
        <f t="shared" si="3"/>
        <v>-1.8000000000000682E-2</v>
      </c>
      <c r="P15" s="3" t="s">
        <v>40</v>
      </c>
      <c r="Q15" s="4">
        <v>2.5150000000000001</v>
      </c>
      <c r="R15" s="4">
        <v>2.5169999999999999</v>
      </c>
      <c r="S15" s="4">
        <f t="shared" si="1"/>
        <v>-1.9999999999997797E-3</v>
      </c>
      <c r="U15" s="3" t="s">
        <v>41</v>
      </c>
      <c r="V15" s="4">
        <v>2.238</v>
      </c>
      <c r="W15" s="4">
        <v>2.2269999999999999</v>
      </c>
      <c r="X15" s="4">
        <f t="shared" si="2"/>
        <v>1.1000000000000121E-2</v>
      </c>
    </row>
    <row r="16" spans="1:24" x14ac:dyDescent="0.2">
      <c r="A16" s="3" t="s">
        <v>42</v>
      </c>
      <c r="B16" s="7">
        <v>164.46</v>
      </c>
      <c r="C16" s="7">
        <v>149.83699999999999</v>
      </c>
      <c r="D16" s="7">
        <f>B16-C16</f>
        <v>14.623000000000019</v>
      </c>
      <c r="F16" s="3" t="s">
        <v>6</v>
      </c>
      <c r="G16" s="3" t="s">
        <v>7</v>
      </c>
      <c r="H16" s="3" t="s">
        <v>8</v>
      </c>
      <c r="I16" s="3" t="s">
        <v>9</v>
      </c>
      <c r="K16" s="3" t="s">
        <v>43</v>
      </c>
      <c r="L16" s="7">
        <v>78.959999999999994</v>
      </c>
      <c r="M16" s="7">
        <v>73.119</v>
      </c>
      <c r="N16" s="7">
        <f t="shared" si="3"/>
        <v>5.840999999999994</v>
      </c>
      <c r="P16" s="6"/>
      <c r="Q16" s="6"/>
      <c r="R16" s="6"/>
      <c r="S16" s="6"/>
      <c r="U16" s="3" t="s">
        <v>44</v>
      </c>
      <c r="V16" s="4">
        <v>2.6509999999999998</v>
      </c>
      <c r="W16" s="4">
        <v>2.6379999999999999</v>
      </c>
      <c r="X16" s="4">
        <f t="shared" si="2"/>
        <v>1.2999999999999901E-2</v>
      </c>
    </row>
    <row r="17" spans="6:24" x14ac:dyDescent="0.2">
      <c r="F17" s="3" t="s">
        <v>45</v>
      </c>
      <c r="G17" s="7">
        <v>-11.26</v>
      </c>
      <c r="H17" s="7">
        <v>-4.7060000000000004</v>
      </c>
      <c r="I17" s="7">
        <f>G17-H17</f>
        <v>-6.5539999999999994</v>
      </c>
      <c r="K17" s="3" t="s">
        <v>46</v>
      </c>
      <c r="L17" s="7">
        <v>176.76</v>
      </c>
      <c r="M17" s="7">
        <v>173.018</v>
      </c>
      <c r="N17" s="7">
        <f t="shared" si="3"/>
        <v>3.7419999999999902</v>
      </c>
      <c r="U17" s="3" t="s">
        <v>47</v>
      </c>
      <c r="V17" s="4">
        <v>2.4620000000000002</v>
      </c>
      <c r="W17" s="4">
        <v>2.4700000000000002</v>
      </c>
      <c r="X17" s="4">
        <f t="shared" si="2"/>
        <v>-8.0000000000000071E-3</v>
      </c>
    </row>
    <row r="18" spans="6:24" x14ac:dyDescent="0.2">
      <c r="F18" s="3" t="s">
        <v>48</v>
      </c>
      <c r="G18" s="7">
        <v>-0.4</v>
      </c>
      <c r="H18" s="7">
        <v>-8.1590000000000007</v>
      </c>
      <c r="I18" s="7">
        <f>G18-H18</f>
        <v>7.7590000000000003</v>
      </c>
      <c r="K18" s="8" t="s">
        <v>31</v>
      </c>
      <c r="L18" s="8"/>
      <c r="M18" s="8"/>
      <c r="N18" s="8"/>
      <c r="U18" s="3" t="s">
        <v>21</v>
      </c>
      <c r="V18" s="4">
        <v>2.464</v>
      </c>
      <c r="W18" s="4">
        <v>2.4729999999999999</v>
      </c>
      <c r="X18" s="4">
        <f t="shared" si="2"/>
        <v>-8.999999999999897E-3</v>
      </c>
    </row>
    <row r="19" spans="6:24" x14ac:dyDescent="0.2">
      <c r="F19" s="3" t="s">
        <v>49</v>
      </c>
      <c r="G19" s="7">
        <v>117.62</v>
      </c>
      <c r="H19" s="7">
        <v>128.45500000000001</v>
      </c>
      <c r="I19" s="7">
        <f>G19-H19</f>
        <v>-10.835000000000008</v>
      </c>
      <c r="K19" s="3" t="s">
        <v>6</v>
      </c>
      <c r="L19" s="3" t="s">
        <v>7</v>
      </c>
      <c r="M19" s="3" t="s">
        <v>8</v>
      </c>
      <c r="N19" s="3" t="s">
        <v>9</v>
      </c>
      <c r="U19" s="3" t="s">
        <v>50</v>
      </c>
      <c r="V19" s="4">
        <v>2.6549999999999998</v>
      </c>
      <c r="W19" s="4">
        <v>2.64</v>
      </c>
      <c r="X19" s="4">
        <f t="shared" si="2"/>
        <v>1.499999999999968E-2</v>
      </c>
    </row>
    <row r="20" spans="6:24" x14ac:dyDescent="0.2">
      <c r="K20" s="3" t="s">
        <v>51</v>
      </c>
      <c r="L20" s="7">
        <v>176.108</v>
      </c>
      <c r="M20" s="7">
        <v>3.0720000000000001</v>
      </c>
      <c r="N20" s="7">
        <f>180 - L20-M20</f>
        <v>0.81999999999999584</v>
      </c>
      <c r="P20" s="5"/>
      <c r="U20" s="3" t="s">
        <v>52</v>
      </c>
      <c r="V20" s="4">
        <v>2.4990000000000001</v>
      </c>
      <c r="W20" s="4">
        <v>2.4969999999999999</v>
      </c>
      <c r="X20" s="4">
        <f t="shared" si="2"/>
        <v>2.0000000000002238E-3</v>
      </c>
    </row>
    <row r="21" spans="6:24" x14ac:dyDescent="0.2">
      <c r="K21" s="3" t="s">
        <v>53</v>
      </c>
      <c r="L21" s="7">
        <v>98.742000000000004</v>
      </c>
      <c r="M21" s="7">
        <v>-79.793999999999997</v>
      </c>
      <c r="N21" s="7">
        <f>- 180 + L21-M21</f>
        <v>-1.4639999999999986</v>
      </c>
      <c r="P21" s="5"/>
      <c r="U21" s="3" t="s">
        <v>54</v>
      </c>
      <c r="V21" s="4">
        <v>2.3460000000000001</v>
      </c>
      <c r="W21" s="4">
        <v>2.359</v>
      </c>
      <c r="X21" s="4">
        <f t="shared" si="2"/>
        <v>-1.2999999999999901E-2</v>
      </c>
    </row>
    <row r="22" spans="6:24" x14ac:dyDescent="0.2">
      <c r="K22" s="3" t="s">
        <v>55</v>
      </c>
      <c r="L22" s="7">
        <v>-159.78200000000001</v>
      </c>
      <c r="M22" s="7">
        <v>20.873000000000001</v>
      </c>
      <c r="N22" s="7">
        <f>180 + L22-M22</f>
        <v>-0.6550000000000118</v>
      </c>
      <c r="P22" s="5"/>
      <c r="U22" s="3" t="s">
        <v>56</v>
      </c>
      <c r="V22" s="4">
        <v>2.4969999999999999</v>
      </c>
      <c r="W22" s="4">
        <v>2.4940000000000002</v>
      </c>
      <c r="X22" s="4">
        <f t="shared" si="2"/>
        <v>2.9999999999996696E-3</v>
      </c>
    </row>
    <row r="23" spans="6:24" x14ac:dyDescent="0.2">
      <c r="K23" s="3" t="s">
        <v>57</v>
      </c>
      <c r="L23" s="7">
        <v>-148.798</v>
      </c>
      <c r="M23" s="7">
        <v>-1.3440000000000001</v>
      </c>
      <c r="N23" s="7">
        <f>180 + L23-M23</f>
        <v>32.545999999999999</v>
      </c>
      <c r="P23" s="5"/>
      <c r="U23" s="8"/>
      <c r="V23" s="8"/>
      <c r="W23" s="8"/>
      <c r="X23" s="8"/>
    </row>
    <row r="24" spans="6:24" x14ac:dyDescent="0.2">
      <c r="K24" s="3" t="s">
        <v>58</v>
      </c>
      <c r="L24" s="7">
        <v>-46.106000000000002</v>
      </c>
      <c r="M24" s="7">
        <v>98.331000000000003</v>
      </c>
      <c r="N24" s="7">
        <f>180 + L24-M24</f>
        <v>35.563000000000002</v>
      </c>
      <c r="P24" s="5"/>
      <c r="Q24" s="6"/>
      <c r="R24" s="6"/>
      <c r="S24" s="6"/>
    </row>
    <row r="31" spans="6:24" x14ac:dyDescent="0.2">
      <c r="U31" s="6"/>
      <c r="V31" s="6"/>
      <c r="W31" s="6"/>
      <c r="X31" s="6"/>
    </row>
  </sheetData>
  <mergeCells count="17">
    <mergeCell ref="A1:D1"/>
    <mergeCell ref="F1:I1"/>
    <mergeCell ref="K1:N1"/>
    <mergeCell ref="P1:S1"/>
    <mergeCell ref="U1:X1"/>
    <mergeCell ref="A2:D2"/>
    <mergeCell ref="F2:I2"/>
    <mergeCell ref="K2:N2"/>
    <mergeCell ref="P2:S2"/>
    <mergeCell ref="U2:X2"/>
    <mergeCell ref="K18:N18"/>
    <mergeCell ref="U23:X23"/>
    <mergeCell ref="A8:D8"/>
    <mergeCell ref="F9:I9"/>
    <mergeCell ref="K10:N10"/>
    <mergeCell ref="A13:D13"/>
    <mergeCell ref="F15:I15"/>
  </mergeCells>
  <conditionalFormatting sqref="D4:D7 I4:I8 N4:N9 S4:S15 X4:X22 D10:D12 I11:I14 N12:N17 D15:D16 I17:I19 N20:N24">
    <cfRule type="cellIs" dxfId="5" priority="2" operator="lessThan">
      <formula>0</formula>
    </cfRule>
    <cfRule type="cellIs" dxfId="4" priority="3" operator="greaterThan">
      <formula>0</formula>
    </cfRule>
    <cfRule type="cellIs" dxfId="3" priority="4" operator="equal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920C6-515C-5F44-A7C8-15745D43317B}">
  <dimension ref="A1:X31"/>
  <sheetViews>
    <sheetView zoomScale="117" zoomScaleNormal="117" workbookViewId="0">
      <selection activeCell="S24" sqref="S24"/>
    </sheetView>
  </sheetViews>
  <sheetFormatPr baseColWidth="10" defaultColWidth="10.83203125" defaultRowHeight="15.75" customHeight="1" x14ac:dyDescent="0.2"/>
  <cols>
    <col min="1" max="1" width="14.1640625" style="3" customWidth="1"/>
    <col min="2" max="4" width="10.83203125" style="3"/>
    <col min="5" max="5" width="3.33203125" style="3" customWidth="1"/>
    <col min="6" max="6" width="14.1640625" style="3" customWidth="1"/>
    <col min="7" max="9" width="10.83203125" style="3"/>
    <col min="10" max="10" width="3.1640625" style="3" customWidth="1"/>
    <col min="11" max="11" width="15.1640625" style="3" customWidth="1"/>
    <col min="12" max="14" width="10.83203125" style="3"/>
    <col min="15" max="15" width="3" style="3" customWidth="1"/>
    <col min="16" max="16" width="15.1640625" style="3" customWidth="1"/>
    <col min="17" max="19" width="10.83203125" style="3"/>
    <col min="20" max="20" width="3.83203125" style="3" customWidth="1"/>
    <col min="21" max="21" width="15.1640625" style="3" customWidth="1"/>
    <col min="22" max="16384" width="10.83203125" style="3"/>
  </cols>
  <sheetData>
    <row r="1" spans="1:24" x14ac:dyDescent="0.2">
      <c r="A1" s="10" t="s">
        <v>59</v>
      </c>
      <c r="B1" s="9"/>
      <c r="C1" s="9"/>
      <c r="D1" s="9"/>
      <c r="E1" s="2"/>
      <c r="F1" s="10" t="s">
        <v>60</v>
      </c>
      <c r="G1" s="9"/>
      <c r="H1" s="9"/>
      <c r="I1" s="9"/>
      <c r="J1" s="2"/>
      <c r="K1" s="10" t="s">
        <v>61</v>
      </c>
      <c r="L1" s="9"/>
      <c r="M1" s="9"/>
      <c r="N1" s="9"/>
      <c r="P1" s="10" t="s">
        <v>62</v>
      </c>
      <c r="Q1" s="9"/>
      <c r="R1" s="9"/>
      <c r="S1" s="9"/>
      <c r="U1" s="10" t="s">
        <v>63</v>
      </c>
      <c r="V1" s="9"/>
      <c r="W1" s="9"/>
      <c r="X1" s="9"/>
    </row>
    <row r="2" spans="1:24" x14ac:dyDescent="0.2">
      <c r="A2" s="8" t="s">
        <v>5</v>
      </c>
      <c r="B2" s="8"/>
      <c r="C2" s="8"/>
      <c r="D2" s="8"/>
      <c r="E2" s="1"/>
      <c r="F2" s="8" t="s">
        <v>5</v>
      </c>
      <c r="G2" s="8"/>
      <c r="H2" s="8"/>
      <c r="I2" s="8"/>
      <c r="J2" s="1"/>
      <c r="K2" s="8" t="s">
        <v>5</v>
      </c>
      <c r="L2" s="8"/>
      <c r="M2" s="8"/>
      <c r="N2" s="8"/>
      <c r="P2" s="8" t="s">
        <v>5</v>
      </c>
      <c r="Q2" s="8"/>
      <c r="R2" s="8"/>
      <c r="S2" s="8"/>
      <c r="U2" s="8" t="s">
        <v>5</v>
      </c>
      <c r="V2" s="8"/>
      <c r="W2" s="8"/>
      <c r="X2" s="8"/>
    </row>
    <row r="3" spans="1:24" x14ac:dyDescent="0.2">
      <c r="A3" s="3" t="s">
        <v>6</v>
      </c>
      <c r="B3" s="3" t="s">
        <v>7</v>
      </c>
      <c r="C3" s="3" t="s">
        <v>8</v>
      </c>
      <c r="D3" s="3" t="s">
        <v>9</v>
      </c>
      <c r="F3" s="3" t="s">
        <v>6</v>
      </c>
      <c r="G3" s="3" t="s">
        <v>7</v>
      </c>
      <c r="H3" s="3" t="s">
        <v>8</v>
      </c>
      <c r="I3" s="3" t="s">
        <v>9</v>
      </c>
      <c r="K3" s="3" t="s">
        <v>6</v>
      </c>
      <c r="L3" s="3" t="s">
        <v>7</v>
      </c>
      <c r="M3" s="3" t="s">
        <v>8</v>
      </c>
      <c r="N3" s="3" t="s">
        <v>9</v>
      </c>
      <c r="P3" s="3" t="s">
        <v>6</v>
      </c>
      <c r="Q3" s="3" t="s">
        <v>7</v>
      </c>
      <c r="R3" s="3" t="s">
        <v>8</v>
      </c>
      <c r="S3" s="3" t="s">
        <v>9</v>
      </c>
      <c r="U3" s="3" t="s">
        <v>6</v>
      </c>
      <c r="V3" s="3" t="s">
        <v>7</v>
      </c>
      <c r="W3" s="3" t="s">
        <v>8</v>
      </c>
      <c r="X3" s="3" t="s">
        <v>9</v>
      </c>
    </row>
    <row r="4" spans="1:24" x14ac:dyDescent="0.2">
      <c r="A4" s="3" t="s">
        <v>64</v>
      </c>
      <c r="B4" s="3">
        <v>1.8240000000000001</v>
      </c>
      <c r="C4" s="3">
        <v>1.8280000000000001</v>
      </c>
      <c r="D4" s="4">
        <f>B4-C4</f>
        <v>-4.0000000000000036E-3</v>
      </c>
      <c r="F4" s="3" t="s">
        <v>64</v>
      </c>
      <c r="G4" s="3">
        <v>1.8280000000000001</v>
      </c>
      <c r="H4" s="4">
        <v>1.831</v>
      </c>
      <c r="I4" s="4">
        <f>G4-H4</f>
        <v>-2.9999999999998916E-3</v>
      </c>
      <c r="K4" s="3" t="s">
        <v>66</v>
      </c>
      <c r="L4" s="4">
        <v>1.8260000000000001</v>
      </c>
      <c r="M4" s="4">
        <v>1.8260000000000001</v>
      </c>
      <c r="N4" s="4">
        <f t="shared" ref="N4:N9" si="0">L4-M4</f>
        <v>0</v>
      </c>
      <c r="P4" s="3" t="s">
        <v>11</v>
      </c>
      <c r="Q4" s="4">
        <v>1.83</v>
      </c>
      <c r="R4" s="4">
        <v>1.8320000000000001</v>
      </c>
      <c r="S4" s="4">
        <f t="shared" ref="S4:S15" si="1">Q4-R4</f>
        <v>-2.0000000000000018E-3</v>
      </c>
      <c r="U4" s="3" t="s">
        <v>67</v>
      </c>
      <c r="V4" s="4">
        <v>1.82</v>
      </c>
      <c r="W4" s="4" t="s">
        <v>72</v>
      </c>
      <c r="X4" s="4" t="s">
        <v>72</v>
      </c>
    </row>
    <row r="5" spans="1:24" x14ac:dyDescent="0.2">
      <c r="A5" s="3" t="s">
        <v>65</v>
      </c>
      <c r="B5" s="3">
        <v>1.8240000000000001</v>
      </c>
      <c r="C5" s="3">
        <v>1.833</v>
      </c>
      <c r="D5" s="4">
        <f>B5-C5</f>
        <v>-8.999999999999897E-3</v>
      </c>
      <c r="F5" s="3" t="s">
        <v>65</v>
      </c>
      <c r="G5" s="3">
        <v>1.8280000000000001</v>
      </c>
      <c r="H5" s="4">
        <v>1.8320000000000001</v>
      </c>
      <c r="I5" s="4">
        <f>G5-H5</f>
        <v>-4.0000000000000036E-3</v>
      </c>
      <c r="K5" s="3" t="s">
        <v>67</v>
      </c>
      <c r="L5" s="4">
        <v>1.8360000000000001</v>
      </c>
      <c r="M5" s="4">
        <v>2.835</v>
      </c>
      <c r="N5" s="4">
        <f t="shared" si="0"/>
        <v>-0.99899999999999989</v>
      </c>
      <c r="P5" s="3" t="s">
        <v>68</v>
      </c>
      <c r="Q5" s="4">
        <v>1.8320000000000001</v>
      </c>
      <c r="R5" s="4">
        <v>1.831</v>
      </c>
      <c r="S5" s="4">
        <f t="shared" si="1"/>
        <v>1.0000000000001119E-3</v>
      </c>
      <c r="U5" s="3" t="s">
        <v>66</v>
      </c>
      <c r="V5" s="4">
        <v>1.82</v>
      </c>
      <c r="W5" s="4" t="s">
        <v>72</v>
      </c>
      <c r="X5" s="4" t="s">
        <v>72</v>
      </c>
    </row>
    <row r="6" spans="1:24" x14ac:dyDescent="0.2">
      <c r="A6" s="3" t="s">
        <v>12</v>
      </c>
      <c r="B6" s="3">
        <v>2.1339999999999999</v>
      </c>
      <c r="C6" s="3">
        <v>2.133</v>
      </c>
      <c r="D6" s="4">
        <f>B6-C6</f>
        <v>9.9999999999988987E-4</v>
      </c>
      <c r="F6" s="3" t="s">
        <v>12</v>
      </c>
      <c r="G6" s="4">
        <v>2.258</v>
      </c>
      <c r="H6" s="4">
        <v>2.1779999999999999</v>
      </c>
      <c r="I6" s="4">
        <f>G6-H6</f>
        <v>8.0000000000000071E-2</v>
      </c>
      <c r="K6" s="3" t="s">
        <v>13</v>
      </c>
      <c r="L6" s="4">
        <v>2.1179999999999999</v>
      </c>
      <c r="M6" s="4">
        <v>2.137</v>
      </c>
      <c r="N6" s="4">
        <f t="shared" si="0"/>
        <v>-1.9000000000000128E-2</v>
      </c>
      <c r="P6" s="3" t="s">
        <v>69</v>
      </c>
      <c r="Q6" s="4">
        <v>1.823</v>
      </c>
      <c r="R6" s="4">
        <v>1.831</v>
      </c>
      <c r="S6" s="4">
        <f t="shared" si="1"/>
        <v>-8.0000000000000071E-3</v>
      </c>
      <c r="U6" s="3" t="s">
        <v>70</v>
      </c>
      <c r="V6" s="4">
        <v>1.82</v>
      </c>
      <c r="W6" s="4" t="s">
        <v>72</v>
      </c>
      <c r="X6" s="4" t="s">
        <v>72</v>
      </c>
    </row>
    <row r="7" spans="1:24" x14ac:dyDescent="0.2">
      <c r="A7" s="3" t="s">
        <v>15</v>
      </c>
      <c r="B7" s="3">
        <v>2.1259999999999999</v>
      </c>
      <c r="C7" s="3">
        <v>2.1360000000000001</v>
      </c>
      <c r="D7" s="4">
        <f>B7-C7</f>
        <v>-1.0000000000000231E-2</v>
      </c>
      <c r="F7" s="3" t="s">
        <v>16</v>
      </c>
      <c r="G7" s="4">
        <v>2.2570000000000001</v>
      </c>
      <c r="H7" s="4">
        <v>2.19</v>
      </c>
      <c r="I7" s="4">
        <f>G7-H7</f>
        <v>6.7000000000000171E-2</v>
      </c>
      <c r="K7" s="3" t="s">
        <v>17</v>
      </c>
      <c r="L7" s="4">
        <v>2.1480000000000001</v>
      </c>
      <c r="M7" s="4">
        <v>2.1629999999999998</v>
      </c>
      <c r="N7" s="4">
        <f t="shared" si="0"/>
        <v>-1.499999999999968E-2</v>
      </c>
      <c r="P7" s="3" t="s">
        <v>18</v>
      </c>
      <c r="Q7" s="4">
        <v>2.242</v>
      </c>
      <c r="R7" s="4">
        <v>2.2120000000000002</v>
      </c>
      <c r="S7" s="4">
        <f t="shared" si="1"/>
        <v>2.9999999999999805E-2</v>
      </c>
      <c r="U7" s="3" t="s">
        <v>71</v>
      </c>
      <c r="V7" s="4">
        <v>1.82</v>
      </c>
      <c r="W7" s="4" t="s">
        <v>72</v>
      </c>
      <c r="X7" s="4" t="s">
        <v>72</v>
      </c>
    </row>
    <row r="8" spans="1:24" x14ac:dyDescent="0.2">
      <c r="A8" s="8" t="s">
        <v>20</v>
      </c>
      <c r="B8" s="8"/>
      <c r="C8" s="8"/>
      <c r="D8" s="8"/>
      <c r="E8" s="1"/>
      <c r="F8" s="3" t="s">
        <v>21</v>
      </c>
      <c r="G8" s="4">
        <v>2.3660000000000001</v>
      </c>
      <c r="H8" s="4">
        <v>2.35</v>
      </c>
      <c r="I8" s="4">
        <f>G8-H8</f>
        <v>1.6000000000000014E-2</v>
      </c>
      <c r="K8" s="3" t="s">
        <v>15</v>
      </c>
      <c r="L8" s="4">
        <v>2.1789999999999998</v>
      </c>
      <c r="M8" s="4">
        <v>2.177</v>
      </c>
      <c r="N8" s="4">
        <f t="shared" si="0"/>
        <v>1.9999999999997797E-3</v>
      </c>
      <c r="P8" s="3" t="s">
        <v>16</v>
      </c>
      <c r="Q8" s="4">
        <v>2.242</v>
      </c>
      <c r="R8" s="4">
        <v>2.2400000000000002</v>
      </c>
      <c r="S8" s="4">
        <f t="shared" si="1"/>
        <v>1.9999999999997797E-3</v>
      </c>
      <c r="U8" s="3" t="s">
        <v>17</v>
      </c>
      <c r="V8" s="4">
        <v>2.403</v>
      </c>
      <c r="W8" s="4" t="s">
        <v>72</v>
      </c>
      <c r="X8" s="4" t="s">
        <v>72</v>
      </c>
    </row>
    <row r="9" spans="1:24" x14ac:dyDescent="0.2">
      <c r="A9" s="3" t="s">
        <v>6</v>
      </c>
      <c r="B9" s="3" t="s">
        <v>7</v>
      </c>
      <c r="C9" s="3" t="s">
        <v>8</v>
      </c>
      <c r="D9" s="3" t="s">
        <v>9</v>
      </c>
      <c r="F9" s="8" t="s">
        <v>20</v>
      </c>
      <c r="G9" s="8"/>
      <c r="H9" s="8"/>
      <c r="I9" s="8"/>
      <c r="K9" s="3" t="s">
        <v>21</v>
      </c>
      <c r="L9" s="4">
        <v>2.3149999999999999</v>
      </c>
      <c r="M9" s="4">
        <v>2.3079999999999998</v>
      </c>
      <c r="N9" s="4">
        <f t="shared" si="0"/>
        <v>7.0000000000001172E-3</v>
      </c>
      <c r="P9" s="3" t="s">
        <v>12</v>
      </c>
      <c r="Q9" s="4">
        <v>2.2519999999999998</v>
      </c>
      <c r="R9" s="4">
        <v>2.2080000000000002</v>
      </c>
      <c r="S9" s="4">
        <f t="shared" si="1"/>
        <v>4.3999999999999595E-2</v>
      </c>
      <c r="U9" s="3" t="s">
        <v>15</v>
      </c>
      <c r="V9" s="4">
        <v>2.6230000000000002</v>
      </c>
      <c r="W9" s="4" t="s">
        <v>72</v>
      </c>
      <c r="X9" s="4" t="s">
        <v>72</v>
      </c>
    </row>
    <row r="10" spans="1:24" x14ac:dyDescent="0.2">
      <c r="A10" s="3" t="s">
        <v>73</v>
      </c>
      <c r="B10" s="7">
        <v>106.178</v>
      </c>
      <c r="C10" s="7">
        <v>101.733</v>
      </c>
      <c r="D10" s="7">
        <f>B10-C10</f>
        <v>4.4449999999999932</v>
      </c>
      <c r="F10" s="3" t="s">
        <v>6</v>
      </c>
      <c r="G10" s="3" t="s">
        <v>7</v>
      </c>
      <c r="H10" s="3" t="s">
        <v>8</v>
      </c>
      <c r="I10" s="3" t="s">
        <v>9</v>
      </c>
      <c r="K10" s="8" t="s">
        <v>20</v>
      </c>
      <c r="L10" s="8"/>
      <c r="M10" s="8"/>
      <c r="N10" s="8"/>
      <c r="P10" s="3" t="s">
        <v>13</v>
      </c>
      <c r="Q10" s="4">
        <v>2.1579999999999999</v>
      </c>
      <c r="R10" s="4">
        <v>2.2309999999999999</v>
      </c>
      <c r="S10" s="4">
        <f t="shared" si="1"/>
        <v>-7.2999999999999954E-2</v>
      </c>
      <c r="U10" s="3" t="s">
        <v>13</v>
      </c>
      <c r="V10" s="4">
        <v>2.4340000000000002</v>
      </c>
      <c r="W10" s="4" t="s">
        <v>72</v>
      </c>
      <c r="X10" s="4" t="s">
        <v>72</v>
      </c>
    </row>
    <row r="11" spans="1:24" x14ac:dyDescent="0.2">
      <c r="A11" s="3" t="s">
        <v>77</v>
      </c>
      <c r="B11" s="7">
        <v>103.54</v>
      </c>
      <c r="C11" s="7">
        <v>100.05</v>
      </c>
      <c r="D11" s="7">
        <f>B11-C11</f>
        <v>3.4900000000000091</v>
      </c>
      <c r="F11" s="3" t="s">
        <v>78</v>
      </c>
      <c r="G11" s="7">
        <v>89.745000000000005</v>
      </c>
      <c r="H11" s="7">
        <v>96.335999999999999</v>
      </c>
      <c r="I11" s="7">
        <f>G11-H11</f>
        <v>-6.590999999999994</v>
      </c>
      <c r="K11" s="3" t="s">
        <v>6</v>
      </c>
      <c r="L11" s="3" t="s">
        <v>7</v>
      </c>
      <c r="M11" s="3" t="s">
        <v>8</v>
      </c>
      <c r="N11" s="3" t="s">
        <v>9</v>
      </c>
      <c r="P11" s="3" t="s">
        <v>24</v>
      </c>
      <c r="Q11" s="4">
        <v>2.1619999999999999</v>
      </c>
      <c r="R11" s="4">
        <v>2.1739999999999999</v>
      </c>
      <c r="S11" s="4">
        <f t="shared" si="1"/>
        <v>-1.2000000000000011E-2</v>
      </c>
      <c r="U11" s="3" t="s">
        <v>25</v>
      </c>
      <c r="V11" s="4">
        <v>2.5590000000000002</v>
      </c>
      <c r="W11" s="4" t="s">
        <v>72</v>
      </c>
      <c r="X11" s="4" t="s">
        <v>72</v>
      </c>
    </row>
    <row r="12" spans="1:24" x14ac:dyDescent="0.2">
      <c r="A12" s="3" t="s">
        <v>76</v>
      </c>
      <c r="B12" s="7">
        <v>178.21</v>
      </c>
      <c r="C12" s="7">
        <v>174.886</v>
      </c>
      <c r="D12" s="7">
        <f>B12-C12</f>
        <v>3.3240000000000123</v>
      </c>
      <c r="F12" s="3" t="s">
        <v>77</v>
      </c>
      <c r="G12" s="7">
        <v>89.471999999999994</v>
      </c>
      <c r="H12" s="7">
        <v>105.9</v>
      </c>
      <c r="I12" s="7">
        <f>G12-H12</f>
        <v>-16.428000000000011</v>
      </c>
      <c r="K12" s="3" t="s">
        <v>81</v>
      </c>
      <c r="L12" s="7">
        <v>113.08499999999999</v>
      </c>
      <c r="M12" s="7">
        <v>107.021</v>
      </c>
      <c r="N12" s="7">
        <f>L12-M12</f>
        <v>6.063999999999993</v>
      </c>
      <c r="P12" s="3" t="s">
        <v>29</v>
      </c>
      <c r="Q12" s="4">
        <v>2.1230000000000002</v>
      </c>
      <c r="R12" s="4">
        <v>2.1949999999999998</v>
      </c>
      <c r="S12" s="4">
        <f t="shared" si="1"/>
        <v>-7.199999999999962E-2</v>
      </c>
      <c r="U12" s="3" t="s">
        <v>30</v>
      </c>
      <c r="V12" s="4">
        <v>2.6230000000000002</v>
      </c>
      <c r="W12" s="4" t="s">
        <v>72</v>
      </c>
      <c r="X12" s="4" t="s">
        <v>72</v>
      </c>
    </row>
    <row r="13" spans="1:24" x14ac:dyDescent="0.2">
      <c r="A13" s="8" t="s">
        <v>31</v>
      </c>
      <c r="B13" s="8"/>
      <c r="C13" s="8"/>
      <c r="D13" s="8"/>
      <c r="E13" s="1"/>
      <c r="F13" s="3" t="s">
        <v>32</v>
      </c>
      <c r="G13" s="7">
        <v>157.97900000000001</v>
      </c>
      <c r="H13" s="7">
        <v>174.547</v>
      </c>
      <c r="I13" s="7">
        <f>G13-H13</f>
        <v>-16.567999999999984</v>
      </c>
      <c r="K13" s="3" t="s">
        <v>82</v>
      </c>
      <c r="L13" s="7">
        <v>111.38200000000001</v>
      </c>
      <c r="M13" s="7">
        <v>99.682000000000002</v>
      </c>
      <c r="N13" s="7">
        <f t="shared" ref="N13:N15" si="2">L13-M13</f>
        <v>11.700000000000003</v>
      </c>
      <c r="P13" s="3" t="s">
        <v>21</v>
      </c>
      <c r="Q13" s="4">
        <v>2.327</v>
      </c>
      <c r="R13" s="4">
        <v>2.319</v>
      </c>
      <c r="S13" s="4">
        <f t="shared" si="1"/>
        <v>8.0000000000000071E-3</v>
      </c>
      <c r="U13" s="3" t="s">
        <v>34</v>
      </c>
      <c r="V13" s="4">
        <v>2.403</v>
      </c>
      <c r="W13" s="4" t="s">
        <v>72</v>
      </c>
      <c r="X13" s="4" t="s">
        <v>72</v>
      </c>
    </row>
    <row r="14" spans="1:24" x14ac:dyDescent="0.2">
      <c r="A14" s="3" t="s">
        <v>6</v>
      </c>
      <c r="B14" s="3" t="s">
        <v>7</v>
      </c>
      <c r="C14" s="3" t="s">
        <v>8</v>
      </c>
      <c r="D14" s="3" t="s">
        <v>9</v>
      </c>
      <c r="F14" s="3" t="s">
        <v>27</v>
      </c>
      <c r="G14" s="7">
        <v>157.86600000000001</v>
      </c>
      <c r="H14" s="7">
        <v>177.88200000000001</v>
      </c>
      <c r="I14" s="7">
        <f>G14-H14</f>
        <v>-20.015999999999991</v>
      </c>
      <c r="K14" s="3" t="s">
        <v>84</v>
      </c>
      <c r="L14" s="7">
        <v>98.138999999999996</v>
      </c>
      <c r="M14" s="7">
        <v>106.33499999999999</v>
      </c>
      <c r="N14" s="7">
        <f t="shared" si="2"/>
        <v>-8.195999999999998</v>
      </c>
      <c r="P14" s="3" t="s">
        <v>37</v>
      </c>
      <c r="Q14" s="4">
        <v>2.5190000000000001</v>
      </c>
      <c r="R14" s="4">
        <v>2.484</v>
      </c>
      <c r="S14" s="4">
        <f t="shared" si="1"/>
        <v>3.5000000000000142E-2</v>
      </c>
      <c r="U14" s="3" t="s">
        <v>38</v>
      </c>
      <c r="V14" s="4">
        <v>2.4340000000000002</v>
      </c>
      <c r="W14" s="4" t="s">
        <v>72</v>
      </c>
      <c r="X14" s="4" t="s">
        <v>72</v>
      </c>
    </row>
    <row r="15" spans="1:24" x14ac:dyDescent="0.2">
      <c r="A15" s="3" t="s">
        <v>74</v>
      </c>
      <c r="B15" s="7">
        <v>124.6</v>
      </c>
      <c r="C15" s="7">
        <v>-54.804000000000002</v>
      </c>
      <c r="D15" s="7">
        <f>B15-C15</f>
        <v>179.404</v>
      </c>
      <c r="F15" s="8" t="s">
        <v>31</v>
      </c>
      <c r="G15" s="8"/>
      <c r="H15" s="8"/>
      <c r="I15" s="8"/>
      <c r="K15" s="3" t="s">
        <v>33</v>
      </c>
      <c r="L15" s="7">
        <v>172.43899999999999</v>
      </c>
      <c r="M15" s="7">
        <v>170.16499999999999</v>
      </c>
      <c r="N15" s="7">
        <f t="shared" si="2"/>
        <v>2.2740000000000009</v>
      </c>
      <c r="P15" s="3" t="s">
        <v>40</v>
      </c>
      <c r="Q15" s="4">
        <v>2.3919999999999999</v>
      </c>
      <c r="R15" s="4">
        <v>2.488</v>
      </c>
      <c r="S15" s="4">
        <f t="shared" si="1"/>
        <v>-9.6000000000000085E-2</v>
      </c>
      <c r="U15" s="3" t="s">
        <v>41</v>
      </c>
      <c r="V15" s="4">
        <v>2.5590000000000002</v>
      </c>
      <c r="W15" s="4" t="s">
        <v>72</v>
      </c>
      <c r="X15" s="4" t="s">
        <v>72</v>
      </c>
    </row>
    <row r="16" spans="1:24" x14ac:dyDescent="0.2">
      <c r="A16" s="3" t="s">
        <v>75</v>
      </c>
      <c r="B16" s="7">
        <v>-43.436999999999998</v>
      </c>
      <c r="C16" s="7">
        <v>16.303000000000001</v>
      </c>
      <c r="D16" s="7">
        <f>B16-C16</f>
        <v>-59.739999999999995</v>
      </c>
      <c r="F16" s="3" t="s">
        <v>6</v>
      </c>
      <c r="G16" s="3" t="s">
        <v>7</v>
      </c>
      <c r="H16" s="3" t="s">
        <v>8</v>
      </c>
      <c r="I16" s="3" t="s">
        <v>9</v>
      </c>
      <c r="K16" s="3" t="s">
        <v>83</v>
      </c>
      <c r="L16" s="7">
        <v>78.447999999999993</v>
      </c>
      <c r="M16" s="7">
        <v>78.822999999999993</v>
      </c>
      <c r="N16" s="7">
        <f>L16-M16</f>
        <v>-0.375</v>
      </c>
      <c r="P16" s="6"/>
      <c r="Q16" s="6"/>
      <c r="R16" s="6"/>
      <c r="S16" s="6"/>
      <c r="U16" s="3" t="s">
        <v>44</v>
      </c>
      <c r="V16" s="4">
        <v>3.0310000000000001</v>
      </c>
      <c r="W16" s="4" t="s">
        <v>72</v>
      </c>
      <c r="X16" s="4" t="s">
        <v>72</v>
      </c>
    </row>
    <row r="17" spans="6:24" x14ac:dyDescent="0.2">
      <c r="F17" s="3" t="s">
        <v>79</v>
      </c>
      <c r="G17" s="7">
        <v>-17.571999999999999</v>
      </c>
      <c r="H17" s="7">
        <v>4.8150000000000004</v>
      </c>
      <c r="I17" s="7">
        <f>G17-H17</f>
        <v>-22.387</v>
      </c>
      <c r="K17" s="3" t="s">
        <v>46</v>
      </c>
      <c r="L17" s="7">
        <v>168.14599999999999</v>
      </c>
      <c r="M17" s="7">
        <v>170.934</v>
      </c>
      <c r="N17" s="7">
        <f>L17-M17</f>
        <v>-2.7880000000000109</v>
      </c>
      <c r="U17" s="3" t="s">
        <v>47</v>
      </c>
      <c r="V17" s="4">
        <v>2.8239999999999998</v>
      </c>
      <c r="W17" s="4" t="s">
        <v>72</v>
      </c>
      <c r="X17" s="4" t="s">
        <v>72</v>
      </c>
    </row>
    <row r="18" spans="6:24" x14ac:dyDescent="0.2">
      <c r="F18" s="3" t="s">
        <v>80</v>
      </c>
      <c r="G18" s="7">
        <v>-21.234999999999999</v>
      </c>
      <c r="H18" s="7">
        <v>-178.137</v>
      </c>
      <c r="I18" s="7">
        <f>G18-H18</f>
        <v>156.90199999999999</v>
      </c>
      <c r="K18" s="8" t="s">
        <v>31</v>
      </c>
      <c r="L18" s="8"/>
      <c r="M18" s="8"/>
      <c r="N18" s="8"/>
      <c r="U18" s="3" t="s">
        <v>21</v>
      </c>
      <c r="V18" s="4">
        <v>2.8239999999999998</v>
      </c>
      <c r="W18" s="4" t="s">
        <v>72</v>
      </c>
      <c r="X18" s="4" t="s">
        <v>72</v>
      </c>
    </row>
    <row r="19" spans="6:24" x14ac:dyDescent="0.2">
      <c r="F19" s="3" t="s">
        <v>49</v>
      </c>
      <c r="G19" s="7">
        <v>-53.537999999999997</v>
      </c>
      <c r="H19" s="7">
        <v>124.441</v>
      </c>
      <c r="I19" s="7">
        <f>G19-H19</f>
        <v>-177.97899999999998</v>
      </c>
      <c r="K19" s="3" t="s">
        <v>6</v>
      </c>
      <c r="L19" s="3" t="s">
        <v>7</v>
      </c>
      <c r="M19" s="3" t="s">
        <v>8</v>
      </c>
      <c r="N19" s="3" t="s">
        <v>9</v>
      </c>
      <c r="U19" s="3" t="s">
        <v>50</v>
      </c>
      <c r="V19" s="4">
        <v>3.0310000000000001</v>
      </c>
      <c r="W19" s="4" t="s">
        <v>72</v>
      </c>
      <c r="X19" s="4" t="s">
        <v>72</v>
      </c>
    </row>
    <row r="20" spans="6:24" x14ac:dyDescent="0.2">
      <c r="K20" s="3" t="s">
        <v>85</v>
      </c>
      <c r="L20" s="7">
        <v>148.44999999999999</v>
      </c>
      <c r="M20" s="7">
        <v>-127.501</v>
      </c>
      <c r="N20" s="7">
        <f>L20-M20</f>
        <v>275.95100000000002</v>
      </c>
      <c r="P20" s="5"/>
      <c r="U20" s="3" t="s">
        <v>52</v>
      </c>
      <c r="V20" s="4">
        <v>2.9169999999999998</v>
      </c>
      <c r="W20" s="4" t="s">
        <v>72</v>
      </c>
      <c r="X20" s="4" t="s">
        <v>72</v>
      </c>
    </row>
    <row r="21" spans="6:24" x14ac:dyDescent="0.2">
      <c r="K21" s="3" t="s">
        <v>86</v>
      </c>
      <c r="L21" s="7">
        <v>117.1</v>
      </c>
      <c r="M21" s="7">
        <v>-168.14699999999999</v>
      </c>
      <c r="N21" s="7">
        <f t="shared" ref="N21:N24" si="3">L21-M21</f>
        <v>285.24699999999996</v>
      </c>
      <c r="P21" s="5"/>
      <c r="U21" s="3" t="s">
        <v>54</v>
      </c>
      <c r="V21" s="4">
        <v>2.6789999999999998</v>
      </c>
      <c r="W21" s="4" t="s">
        <v>72</v>
      </c>
      <c r="X21" s="4" t="s">
        <v>72</v>
      </c>
    </row>
    <row r="22" spans="6:24" x14ac:dyDescent="0.2">
      <c r="K22" s="3" t="s">
        <v>55</v>
      </c>
      <c r="L22" s="7">
        <v>22.79</v>
      </c>
      <c r="M22" s="7">
        <v>-168.14699999999999</v>
      </c>
      <c r="N22" s="7">
        <f t="shared" si="3"/>
        <v>190.93699999999998</v>
      </c>
      <c r="P22" s="5"/>
      <c r="U22" s="3" t="s">
        <v>56</v>
      </c>
      <c r="V22" s="4">
        <v>2.9169999999999998</v>
      </c>
      <c r="W22" s="4" t="s">
        <v>72</v>
      </c>
      <c r="X22" s="4" t="s">
        <v>72</v>
      </c>
    </row>
    <row r="23" spans="6:24" x14ac:dyDescent="0.2">
      <c r="K23" s="3" t="s">
        <v>57</v>
      </c>
      <c r="L23" s="7">
        <v>133.65299999999999</v>
      </c>
      <c r="M23" s="7">
        <v>-167.76900000000001</v>
      </c>
      <c r="N23" s="7">
        <f t="shared" si="3"/>
        <v>301.42200000000003</v>
      </c>
      <c r="P23" s="5"/>
      <c r="U23" s="8"/>
      <c r="V23" s="8"/>
      <c r="W23" s="8"/>
      <c r="X23" s="8"/>
    </row>
    <row r="24" spans="6:24" x14ac:dyDescent="0.2">
      <c r="K24" s="3" t="s">
        <v>87</v>
      </c>
      <c r="L24" s="7">
        <v>23.369</v>
      </c>
      <c r="M24" s="7">
        <v>-70.834000000000003</v>
      </c>
      <c r="N24" s="7">
        <f t="shared" si="3"/>
        <v>94.203000000000003</v>
      </c>
      <c r="P24" s="5"/>
      <c r="Q24" s="6"/>
      <c r="R24" s="6"/>
      <c r="S24" s="6"/>
    </row>
    <row r="31" spans="6:24" x14ac:dyDescent="0.2">
      <c r="U31" s="6"/>
      <c r="V31" s="6"/>
      <c r="W31" s="6"/>
      <c r="X31" s="6"/>
    </row>
  </sheetData>
  <mergeCells count="17">
    <mergeCell ref="U23:X23"/>
    <mergeCell ref="A8:D8"/>
    <mergeCell ref="F9:I9"/>
    <mergeCell ref="K10:N10"/>
    <mergeCell ref="A13:D13"/>
    <mergeCell ref="F15:I15"/>
    <mergeCell ref="K18:N18"/>
    <mergeCell ref="A1:D1"/>
    <mergeCell ref="F1:I1"/>
    <mergeCell ref="K1:N1"/>
    <mergeCell ref="P1:S1"/>
    <mergeCell ref="U1:X1"/>
    <mergeCell ref="A2:D2"/>
    <mergeCell ref="F2:I2"/>
    <mergeCell ref="K2:N2"/>
    <mergeCell ref="P2:S2"/>
    <mergeCell ref="U2:X2"/>
  </mergeCells>
  <conditionalFormatting sqref="D4:D7 I4:I8 N4:N9 S4:S15 D10:D12 I11:I14 N12:N17 D15:D16 I17:I19 N20:N24">
    <cfRule type="cellIs" dxfId="2" priority="1" operator="lessThan">
      <formula>0</formula>
    </cfRule>
    <cfRule type="cellIs" dxfId="1" priority="2" operator="greaterThan">
      <formula>0</formula>
    </cfRule>
    <cfRule type="cellIs" dxfId="0" priority="3" operator="equal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50E03-F667-314F-B36D-96C251533D8F}">
  <dimension ref="A1:Y87"/>
  <sheetViews>
    <sheetView zoomScale="75" workbookViewId="0">
      <selection activeCell="X41" sqref="X41"/>
    </sheetView>
  </sheetViews>
  <sheetFormatPr baseColWidth="10" defaultRowHeight="16" x14ac:dyDescent="0.2"/>
  <cols>
    <col min="1" max="16384" width="10.83203125" style="3"/>
  </cols>
  <sheetData>
    <row r="1" spans="1:24" x14ac:dyDescent="0.2">
      <c r="A1" s="9" t="s">
        <v>88</v>
      </c>
      <c r="B1" s="9"/>
      <c r="C1" s="9"/>
      <c r="D1" s="9"/>
      <c r="E1" s="9" t="s">
        <v>89</v>
      </c>
      <c r="F1" s="9"/>
      <c r="G1" s="9"/>
      <c r="H1" s="9"/>
      <c r="I1" s="9" t="s">
        <v>90</v>
      </c>
      <c r="J1" s="9"/>
      <c r="K1" s="9"/>
      <c r="L1" s="9"/>
      <c r="M1" s="11" t="s">
        <v>91</v>
      </c>
      <c r="N1" s="11"/>
      <c r="O1" s="11"/>
      <c r="P1" s="11"/>
      <c r="Q1" s="11" t="s">
        <v>92</v>
      </c>
      <c r="R1" s="11"/>
      <c r="S1" s="11"/>
      <c r="T1" s="11"/>
      <c r="U1" s="2"/>
      <c r="V1" s="2"/>
      <c r="W1" s="2"/>
      <c r="X1" s="2"/>
    </row>
    <row r="2" spans="1:24" x14ac:dyDescent="0.2">
      <c r="A2" s="3" t="s">
        <v>93</v>
      </c>
      <c r="B2" s="4">
        <v>-5.49623046944774</v>
      </c>
      <c r="C2" s="4">
        <v>6.9764782323894003</v>
      </c>
      <c r="D2" s="4">
        <v>4.6954289902802904</v>
      </c>
      <c r="E2" s="3" t="s">
        <v>93</v>
      </c>
      <c r="F2" s="4">
        <v>-5.3012511095423598</v>
      </c>
      <c r="G2" s="4">
        <v>7.1697405833085401</v>
      </c>
      <c r="H2" s="4">
        <v>4.8816114185990704</v>
      </c>
      <c r="I2" s="3" t="s">
        <v>93</v>
      </c>
      <c r="J2" s="4">
        <v>-6.45174515746411</v>
      </c>
      <c r="K2" s="4">
        <v>6.5511029526105302</v>
      </c>
      <c r="L2" s="4">
        <v>4.8934274072047499</v>
      </c>
      <c r="M2" s="3" t="s">
        <v>93</v>
      </c>
      <c r="N2" s="4">
        <v>-4.6140663715935597</v>
      </c>
      <c r="O2" s="4">
        <v>6.6659584313522</v>
      </c>
      <c r="P2" s="4">
        <v>3.1619696650227902</v>
      </c>
      <c r="Q2" s="3" t="s">
        <v>93</v>
      </c>
      <c r="R2" s="4">
        <v>-5.9254570041284698</v>
      </c>
      <c r="S2" s="4">
        <v>7.7248482101663001</v>
      </c>
      <c r="T2" s="4">
        <v>3.8267940760834001</v>
      </c>
    </row>
    <row r="3" spans="1:24" x14ac:dyDescent="0.2">
      <c r="A3" s="3" t="s">
        <v>94</v>
      </c>
      <c r="B3" s="4">
        <v>-3.67805304673684</v>
      </c>
      <c r="C3" s="4">
        <v>6.9560630857763801</v>
      </c>
      <c r="D3" s="4">
        <v>5.8081806848545003</v>
      </c>
      <c r="E3" s="3" t="s">
        <v>94</v>
      </c>
      <c r="F3" s="4">
        <v>-1.13192052882084</v>
      </c>
      <c r="G3" s="4">
        <v>7.3877323823663597</v>
      </c>
      <c r="H3" s="4">
        <v>6.9280439447487003</v>
      </c>
      <c r="I3" s="3" t="s">
        <v>93</v>
      </c>
      <c r="J3" s="4">
        <v>-4.2521636237769203</v>
      </c>
      <c r="K3" s="4">
        <v>7.0501624266779501</v>
      </c>
      <c r="L3" s="4">
        <v>4.3465183676727301</v>
      </c>
      <c r="M3" s="3" t="s">
        <v>94</v>
      </c>
      <c r="N3" s="4">
        <v>-2.1771778613722401</v>
      </c>
      <c r="O3" s="4">
        <v>7.6197969158729801</v>
      </c>
      <c r="P3" s="4">
        <v>6.6469130581725402</v>
      </c>
      <c r="Q3" s="3" t="s">
        <v>93</v>
      </c>
      <c r="R3" s="4">
        <v>-3.5804727618998902</v>
      </c>
      <c r="S3" s="4">
        <v>8.3823076353277894</v>
      </c>
      <c r="T3" s="4">
        <v>3.4522183021161399</v>
      </c>
    </row>
    <row r="4" spans="1:24" x14ac:dyDescent="0.2">
      <c r="A4" s="3" t="s">
        <v>95</v>
      </c>
      <c r="B4" s="4">
        <v>-4.1148904938798303</v>
      </c>
      <c r="C4" s="4">
        <v>7.7623183485633698</v>
      </c>
      <c r="D4" s="4">
        <v>7.3889415833572203</v>
      </c>
      <c r="E4" s="3" t="s">
        <v>95</v>
      </c>
      <c r="F4" s="4">
        <v>-1.6402917021763599</v>
      </c>
      <c r="G4" s="4">
        <v>7.9118359433041396</v>
      </c>
      <c r="H4" s="4">
        <v>8.6026123326922495</v>
      </c>
      <c r="I4" s="3" t="s">
        <v>94</v>
      </c>
      <c r="J4" s="4">
        <v>-8.5470955618606901</v>
      </c>
      <c r="K4" s="4">
        <v>6.1575540340946899</v>
      </c>
      <c r="L4" s="4">
        <v>5.3137913833561496</v>
      </c>
      <c r="M4" s="3" t="s">
        <v>95</v>
      </c>
      <c r="N4" s="4">
        <v>-3.60516771939972</v>
      </c>
      <c r="O4" s="4">
        <v>8.3713534833679297</v>
      </c>
      <c r="P4" s="4">
        <v>7.5098985068343103</v>
      </c>
      <c r="Q4" s="3" t="s">
        <v>94</v>
      </c>
      <c r="R4" s="4">
        <v>-7.2302287157824701</v>
      </c>
      <c r="S4" s="4">
        <v>5.8334518726247602</v>
      </c>
      <c r="T4" s="4">
        <v>3.7651383018034701</v>
      </c>
    </row>
    <row r="5" spans="1:24" x14ac:dyDescent="0.2">
      <c r="A5" s="3" t="s">
        <v>96</v>
      </c>
      <c r="B5" s="4">
        <v>-4.90398599673519</v>
      </c>
      <c r="C5" s="4">
        <v>7.2222030697464499</v>
      </c>
      <c r="D5" s="4">
        <v>7.9139993043507904</v>
      </c>
      <c r="E5" s="3" t="s">
        <v>96</v>
      </c>
      <c r="F5" s="4">
        <v>-2.3554937259702702</v>
      </c>
      <c r="G5" s="4">
        <v>7.2102237888531198</v>
      </c>
      <c r="H5" s="4">
        <v>9.0416936346319403</v>
      </c>
      <c r="I5" s="3" t="s">
        <v>95</v>
      </c>
      <c r="J5" s="4">
        <v>-9.3172561141572494</v>
      </c>
      <c r="K5" s="4">
        <v>7.8187612088932896</v>
      </c>
      <c r="L5" s="4">
        <v>5.2801564607214502</v>
      </c>
      <c r="M5" s="3" t="s">
        <v>96</v>
      </c>
      <c r="N5" s="4">
        <v>-3.8291502630477301</v>
      </c>
      <c r="O5" s="4">
        <v>7.7758624026134999</v>
      </c>
      <c r="P5" s="4">
        <v>8.3957553969699799</v>
      </c>
      <c r="Q5" s="3" t="s">
        <v>95</v>
      </c>
      <c r="R5" s="4">
        <v>-8.9363322021882894</v>
      </c>
      <c r="S5" s="4">
        <v>6.3833792913863299</v>
      </c>
      <c r="T5" s="4">
        <v>4.12464602638922</v>
      </c>
    </row>
    <row r="6" spans="1:24" x14ac:dyDescent="0.2">
      <c r="A6" s="3" t="s">
        <v>96</v>
      </c>
      <c r="B6" s="4">
        <v>-4.4470673425708398</v>
      </c>
      <c r="C6" s="4">
        <v>8.7908772601595206</v>
      </c>
      <c r="D6" s="4">
        <v>7.2394959118257702</v>
      </c>
      <c r="E6" s="3" t="s">
        <v>96</v>
      </c>
      <c r="F6" s="4">
        <v>-2.1190507757905501</v>
      </c>
      <c r="G6" s="4">
        <v>8.8954336075887497</v>
      </c>
      <c r="H6" s="4">
        <v>8.5873357776803392</v>
      </c>
      <c r="I6" s="3" t="s">
        <v>96</v>
      </c>
      <c r="J6" s="4">
        <v>-10.2540475136145</v>
      </c>
      <c r="K6" s="4">
        <v>7.7915785385206604</v>
      </c>
      <c r="L6" s="4">
        <v>5.8366587046127103</v>
      </c>
      <c r="M6" s="3" t="s">
        <v>96</v>
      </c>
      <c r="N6" s="4">
        <v>-4.4864448874356802</v>
      </c>
      <c r="O6" s="4">
        <v>8.3869458024391204</v>
      </c>
      <c r="P6" s="4">
        <v>6.8666942675942897</v>
      </c>
      <c r="Q6" s="3" t="s">
        <v>96</v>
      </c>
      <c r="R6" s="4">
        <v>-8.9347720244306696</v>
      </c>
      <c r="S6" s="4">
        <v>7.3817627662283503</v>
      </c>
      <c r="T6" s="4">
        <v>4.5609184247105299</v>
      </c>
    </row>
    <row r="7" spans="1:24" x14ac:dyDescent="0.2">
      <c r="A7" s="3" t="s">
        <v>96</v>
      </c>
      <c r="B7" s="4">
        <v>-3.2305940796521302</v>
      </c>
      <c r="C7" s="4">
        <v>7.7816612026383902</v>
      </c>
      <c r="D7" s="4">
        <v>8.0315267941595998</v>
      </c>
      <c r="E7" s="3" t="s">
        <v>96</v>
      </c>
      <c r="F7" s="4">
        <v>-0.77269337276134997</v>
      </c>
      <c r="G7" s="4">
        <v>7.9708502939503498</v>
      </c>
      <c r="H7" s="4">
        <v>9.2712074957444592</v>
      </c>
      <c r="I7" s="3" t="s">
        <v>96</v>
      </c>
      <c r="J7" s="4">
        <v>-9.52541730617315</v>
      </c>
      <c r="K7" s="4">
        <v>8.0889675231274492</v>
      </c>
      <c r="L7" s="4">
        <v>4.2445939087717699</v>
      </c>
      <c r="M7" s="3" t="s">
        <v>96</v>
      </c>
      <c r="N7" s="4">
        <v>-3.3649433247029599</v>
      </c>
      <c r="O7" s="4">
        <v>9.3885834536453192</v>
      </c>
      <c r="P7" s="4">
        <v>7.8192506427998101</v>
      </c>
      <c r="Q7" s="3" t="s">
        <v>96</v>
      </c>
      <c r="R7" s="4">
        <v>-9.4206823566996896</v>
      </c>
      <c r="S7" s="4">
        <v>5.6872221796221698</v>
      </c>
      <c r="T7" s="4">
        <v>4.8088989057864699</v>
      </c>
    </row>
    <row r="8" spans="1:24" x14ac:dyDescent="0.2">
      <c r="A8" s="3" t="s">
        <v>94</v>
      </c>
      <c r="B8" s="4">
        <v>-7.30347198819873</v>
      </c>
      <c r="C8" s="4">
        <v>6.9923114504366701</v>
      </c>
      <c r="D8" s="4">
        <v>3.5633326364881399</v>
      </c>
      <c r="E8" s="3" t="s">
        <v>94</v>
      </c>
      <c r="F8" s="4">
        <v>-7.3125134626865496</v>
      </c>
      <c r="G8" s="4">
        <v>7.1413326892060098</v>
      </c>
      <c r="H8" s="4">
        <v>3.8577907421999802</v>
      </c>
      <c r="I8" s="3" t="s">
        <v>96</v>
      </c>
      <c r="J8" s="4">
        <v>-8.6658064867382691</v>
      </c>
      <c r="K8" s="4">
        <v>8.5708000514003206</v>
      </c>
      <c r="L8" s="4">
        <v>5.7192172042347602</v>
      </c>
      <c r="M8" s="3" t="s">
        <v>94</v>
      </c>
      <c r="N8" s="4">
        <v>-5.6426010406889802</v>
      </c>
      <c r="O8" s="4">
        <v>8.0984435859024408</v>
      </c>
      <c r="P8" s="4">
        <v>1.75968413089631</v>
      </c>
      <c r="Q8" s="3" t="s">
        <v>96</v>
      </c>
      <c r="R8" s="4">
        <v>-9.4999197785137195</v>
      </c>
      <c r="S8" s="4">
        <v>6.4075346306152401</v>
      </c>
      <c r="T8" s="4">
        <v>3.1907239558643199</v>
      </c>
    </row>
    <row r="9" spans="1:24" x14ac:dyDescent="0.2">
      <c r="A9" s="3" t="s">
        <v>95</v>
      </c>
      <c r="B9" s="4">
        <v>-7.3160876306401796</v>
      </c>
      <c r="C9" s="4">
        <v>8.6450733508563005</v>
      </c>
      <c r="D9" s="4">
        <v>2.7827014061406201</v>
      </c>
      <c r="E9" s="3" t="s">
        <v>95</v>
      </c>
      <c r="F9" s="4">
        <v>-7.1779333326440797</v>
      </c>
      <c r="G9" s="4">
        <v>8.6556689575906205</v>
      </c>
      <c r="H9" s="4">
        <v>2.84450247661005</v>
      </c>
      <c r="I9" s="3" t="s">
        <v>93</v>
      </c>
      <c r="J9" s="4">
        <v>-7.6965262112576101</v>
      </c>
      <c r="K9" s="4">
        <v>5.9891097951053203</v>
      </c>
      <c r="L9" s="4">
        <v>7.2736028674891804</v>
      </c>
      <c r="M9" s="3" t="s">
        <v>95</v>
      </c>
      <c r="N9" s="4">
        <v>-6.8780705472353496</v>
      </c>
      <c r="O9" s="4">
        <v>8.6932521966939404</v>
      </c>
      <c r="P9" s="4">
        <v>2.9719086658918301</v>
      </c>
      <c r="Q9" s="3" t="s">
        <v>93</v>
      </c>
      <c r="R9" s="4">
        <v>-6.1672334743928898</v>
      </c>
      <c r="S9" s="4">
        <v>5.7818789656662704</v>
      </c>
      <c r="T9" s="4">
        <v>5.61418997793914</v>
      </c>
    </row>
    <row r="10" spans="1:24" x14ac:dyDescent="0.2">
      <c r="A10" s="3" t="s">
        <v>96</v>
      </c>
      <c r="B10" s="4">
        <v>-8.2268579689322703</v>
      </c>
      <c r="C10" s="4">
        <v>8.7478232589397003</v>
      </c>
      <c r="D10" s="4">
        <v>2.1866411529049099</v>
      </c>
      <c r="E10" s="3" t="s">
        <v>96</v>
      </c>
      <c r="F10" s="4">
        <v>-8.0952328539598994</v>
      </c>
      <c r="G10" s="4">
        <v>8.81930038657989</v>
      </c>
      <c r="H10" s="4">
        <v>2.2657404287159899</v>
      </c>
      <c r="I10" s="3" t="s">
        <v>94</v>
      </c>
      <c r="J10" s="4">
        <v>-6.8757008636939903</v>
      </c>
      <c r="K10" s="4">
        <v>5.8088703171360301</v>
      </c>
      <c r="L10" s="4">
        <v>9.2201865089418895</v>
      </c>
      <c r="M10" s="3" t="s">
        <v>96</v>
      </c>
      <c r="N10" s="4">
        <v>-7.0568563972476399</v>
      </c>
      <c r="O10" s="4">
        <v>9.75984691471837</v>
      </c>
      <c r="P10" s="4">
        <v>2.83649218233026</v>
      </c>
      <c r="Q10" s="3" t="s">
        <v>94</v>
      </c>
      <c r="R10" s="4">
        <v>-4.72115567095637</v>
      </c>
      <c r="S10" s="4">
        <v>6.0322592460101099</v>
      </c>
      <c r="T10" s="4">
        <v>7.2143567553782004</v>
      </c>
    </row>
    <row r="11" spans="1:24" x14ac:dyDescent="0.2">
      <c r="A11" s="3" t="s">
        <v>96</v>
      </c>
      <c r="B11" s="4">
        <v>-6.4600299923917897</v>
      </c>
      <c r="C11" s="4">
        <v>8.7856727718226892</v>
      </c>
      <c r="D11" s="4">
        <v>2.1211458740145601</v>
      </c>
      <c r="E11" s="3" t="s">
        <v>96</v>
      </c>
      <c r="F11" s="4">
        <v>-6.3432696612218296</v>
      </c>
      <c r="G11" s="4">
        <v>8.5926781264727392</v>
      </c>
      <c r="H11" s="4">
        <v>2.1401096342616301</v>
      </c>
      <c r="I11" s="3" t="s">
        <v>96</v>
      </c>
      <c r="J11" s="4">
        <v>-5.3385509921012799</v>
      </c>
      <c r="K11" s="4">
        <v>7.6772594995418704</v>
      </c>
      <c r="L11" s="4">
        <v>8.8392210339805004</v>
      </c>
      <c r="M11" s="3" t="s">
        <v>96</v>
      </c>
      <c r="N11" s="4">
        <v>-6.5409135081415997</v>
      </c>
      <c r="O11" s="4">
        <v>8.5080088199807395</v>
      </c>
      <c r="P11" s="4">
        <v>3.9936548787911801</v>
      </c>
      <c r="Q11" s="3" t="s">
        <v>96</v>
      </c>
      <c r="R11" s="4">
        <v>-6.2772657043397304</v>
      </c>
      <c r="S11" s="4">
        <v>6.9531554142908902</v>
      </c>
      <c r="T11" s="4">
        <v>8.83664468366071</v>
      </c>
    </row>
    <row r="12" spans="1:24" x14ac:dyDescent="0.2">
      <c r="A12" s="3" t="s">
        <v>96</v>
      </c>
      <c r="B12" s="4">
        <v>-7.3067605408144098</v>
      </c>
      <c r="C12" s="4">
        <v>9.4434990736711004</v>
      </c>
      <c r="D12" s="4">
        <v>3.5262738816235499</v>
      </c>
      <c r="E12" s="3" t="s">
        <v>96</v>
      </c>
      <c r="F12" s="4">
        <v>-7.01073215127981</v>
      </c>
      <c r="G12" s="4">
        <v>9.5401958666347308</v>
      </c>
      <c r="H12" s="4">
        <v>3.4660308599913798</v>
      </c>
      <c r="I12" s="3" t="s">
        <v>96</v>
      </c>
      <c r="J12" s="4">
        <v>-4.6711818022576201</v>
      </c>
      <c r="K12" s="4">
        <v>6.1689841492547997</v>
      </c>
      <c r="L12" s="4">
        <v>8.21011631410809</v>
      </c>
      <c r="M12" s="3" t="s">
        <v>96</v>
      </c>
      <c r="N12" s="4">
        <v>-7.8112694648656902</v>
      </c>
      <c r="O12" s="4">
        <v>8.1525356683226509</v>
      </c>
      <c r="P12" s="4">
        <v>2.80983191957539</v>
      </c>
      <c r="Q12" s="3" t="s">
        <v>96</v>
      </c>
      <c r="R12" s="4">
        <v>-5.8533522381879299</v>
      </c>
      <c r="S12" s="4">
        <v>8.1670679593998798</v>
      </c>
      <c r="T12" s="4">
        <v>7.6101470827039099</v>
      </c>
    </row>
    <row r="13" spans="1:24" x14ac:dyDescent="0.2">
      <c r="E13" s="3" t="s">
        <v>93</v>
      </c>
      <c r="F13" s="4">
        <v>-3.1393573231460201</v>
      </c>
      <c r="G13" s="4">
        <v>7.2721383741445802</v>
      </c>
      <c r="H13" s="4">
        <v>5.9046582541241399</v>
      </c>
      <c r="I13" s="3" t="s">
        <v>95</v>
      </c>
      <c r="J13" s="4">
        <v>-5.2398464712672901</v>
      </c>
      <c r="K13" s="4">
        <v>6.60813590691708</v>
      </c>
      <c r="L13" s="4">
        <v>9.0288913500766093</v>
      </c>
      <c r="M13" s="3" t="s">
        <v>93</v>
      </c>
      <c r="N13" s="4">
        <v>-3.31716197239823</v>
      </c>
      <c r="O13" s="4">
        <v>6.49613948390083</v>
      </c>
      <c r="P13" s="4">
        <v>5.0629144819706102</v>
      </c>
      <c r="Q13" s="3" t="s">
        <v>95</v>
      </c>
      <c r="R13" s="4">
        <v>-5.4669985917904302</v>
      </c>
      <c r="S13" s="4">
        <v>7.3609837960768099</v>
      </c>
      <c r="T13" s="4">
        <v>8.23246092366902</v>
      </c>
    </row>
    <row r="14" spans="1:24" x14ac:dyDescent="0.2">
      <c r="I14" s="3" t="s">
        <v>96</v>
      </c>
      <c r="J14" s="4">
        <v>-4.6796158956371396</v>
      </c>
      <c r="K14" s="4">
        <v>6.4729185967199099</v>
      </c>
      <c r="L14" s="4">
        <v>9.9570704888293005</v>
      </c>
      <c r="M14" s="3" t="s">
        <v>93</v>
      </c>
      <c r="N14" s="4">
        <v>-3.75113186226648</v>
      </c>
      <c r="O14" s="4">
        <v>8.9212507161663499</v>
      </c>
      <c r="P14" s="4">
        <v>2.4798139559727601</v>
      </c>
      <c r="Q14" s="3" t="s">
        <v>96</v>
      </c>
      <c r="R14" s="4">
        <v>-4.6995367349632904</v>
      </c>
      <c r="S14" s="4">
        <v>7.7634345063119801</v>
      </c>
      <c r="T14" s="4">
        <v>8.8940248728564093</v>
      </c>
    </row>
    <row r="15" spans="1:24" x14ac:dyDescent="0.2">
      <c r="M15" s="3" t="s">
        <v>93</v>
      </c>
      <c r="N15" s="4">
        <v>-2.1215571390044201</v>
      </c>
      <c r="O15" s="4">
        <v>8.6847106685120501</v>
      </c>
      <c r="P15" s="4">
        <v>4.7383513508609703</v>
      </c>
      <c r="Q15" s="3" t="s">
        <v>93</v>
      </c>
      <c r="R15" s="4">
        <v>-4.1093562357894298</v>
      </c>
      <c r="S15" s="4">
        <v>7.182426365784</v>
      </c>
      <c r="T15" s="4">
        <v>5.3974186449932802</v>
      </c>
    </row>
    <row r="16" spans="1:24" x14ac:dyDescent="0.2">
      <c r="M16" s="3" t="s">
        <v>94</v>
      </c>
      <c r="N16" s="4">
        <v>-1.7437495287660201</v>
      </c>
      <c r="O16" s="4">
        <v>9.6514509612369199</v>
      </c>
      <c r="P16" s="4">
        <v>2.8367585495678398</v>
      </c>
      <c r="Q16" s="3" t="s">
        <v>93</v>
      </c>
      <c r="R16" s="4">
        <v>-5.2736315789599004</v>
      </c>
      <c r="S16" s="4">
        <v>9.6952121086622007</v>
      </c>
      <c r="T16" s="4">
        <v>2.17041669061194</v>
      </c>
    </row>
    <row r="17" spans="1:25" x14ac:dyDescent="0.2">
      <c r="M17" s="3" t="s">
        <v>95</v>
      </c>
      <c r="N17" s="4">
        <v>-0.83730968912268</v>
      </c>
      <c r="O17" s="4">
        <v>8.2703269644574604</v>
      </c>
      <c r="P17" s="4">
        <v>2.0339527337594001</v>
      </c>
      <c r="Q17" s="3" t="s">
        <v>94</v>
      </c>
      <c r="R17" s="4">
        <v>-7.1524578710021798</v>
      </c>
      <c r="S17" s="4">
        <v>9.5512659331249097</v>
      </c>
      <c r="T17" s="4">
        <v>3.1718627327720399</v>
      </c>
    </row>
    <row r="18" spans="1:25" x14ac:dyDescent="0.2">
      <c r="M18" s="3" t="s">
        <v>96</v>
      </c>
      <c r="N18" s="4">
        <v>-0.85218198086520003</v>
      </c>
      <c r="O18" s="4">
        <v>8.4155225794408608</v>
      </c>
      <c r="P18" s="4">
        <v>0.95377304918594996</v>
      </c>
      <c r="Q18" s="3" t="s">
        <v>95</v>
      </c>
      <c r="R18" s="4">
        <v>-8.3746660462165696</v>
      </c>
      <c r="S18" s="4">
        <v>8.9307882267757304</v>
      </c>
      <c r="T18" s="4">
        <v>1.96179953891364</v>
      </c>
    </row>
    <row r="19" spans="1:25" x14ac:dyDescent="0.2">
      <c r="M19" s="3" t="s">
        <v>96</v>
      </c>
      <c r="N19" s="4">
        <v>0.19553506297948001</v>
      </c>
      <c r="O19" s="4">
        <v>8.2740171748471294</v>
      </c>
      <c r="P19" s="4">
        <v>2.3826452161351401</v>
      </c>
      <c r="Q19" s="3" t="s">
        <v>96</v>
      </c>
      <c r="R19" s="4">
        <v>-9.3481052707830106</v>
      </c>
      <c r="S19" s="4">
        <v>8.8647338706826595</v>
      </c>
      <c r="T19" s="4">
        <v>2.4501034047378201</v>
      </c>
    </row>
    <row r="20" spans="1:25" x14ac:dyDescent="0.2">
      <c r="M20" s="3" t="s">
        <v>96</v>
      </c>
      <c r="N20" s="4">
        <v>-1.29833750482517</v>
      </c>
      <c r="O20" s="4">
        <v>7.3118987765288797</v>
      </c>
      <c r="P20" s="4">
        <v>2.27752534766852</v>
      </c>
      <c r="Q20" s="3" t="s">
        <v>96</v>
      </c>
      <c r="R20" s="4">
        <v>-8.4512318645323106</v>
      </c>
      <c r="S20" s="4">
        <v>9.6163309661032095</v>
      </c>
      <c r="T20" s="4">
        <v>1.11818589410367</v>
      </c>
    </row>
    <row r="21" spans="1:25" x14ac:dyDescent="0.2">
      <c r="Q21" s="3" t="s">
        <v>96</v>
      </c>
      <c r="R21" s="4">
        <v>-8.0926981409785306</v>
      </c>
      <c r="S21" s="4">
        <v>7.9414096939994696</v>
      </c>
      <c r="T21" s="4">
        <v>1.60298932451304</v>
      </c>
    </row>
    <row r="22" spans="1:25" x14ac:dyDescent="0.2">
      <c r="Q22" s="3" t="s">
        <v>94</v>
      </c>
      <c r="R22" s="4">
        <v>-3.1851446948447202</v>
      </c>
      <c r="S22" s="4">
        <v>9.5586509595256306</v>
      </c>
      <c r="T22" s="4">
        <v>1.59022686694263</v>
      </c>
    </row>
    <row r="23" spans="1:25" x14ac:dyDescent="0.2">
      <c r="Q23" s="3" t="s">
        <v>95</v>
      </c>
      <c r="R23" s="4">
        <v>-3.1881484083495502</v>
      </c>
      <c r="S23" s="4">
        <v>8.2269462436999401</v>
      </c>
      <c r="T23" s="4">
        <v>0.33184378399429998</v>
      </c>
    </row>
    <row r="24" spans="1:25" x14ac:dyDescent="0.2">
      <c r="Q24" s="3" t="s">
        <v>96</v>
      </c>
      <c r="R24" s="4">
        <v>-2.1636340989553799</v>
      </c>
      <c r="S24" s="4">
        <v>7.8819329799964297</v>
      </c>
      <c r="T24" s="4">
        <v>0.19027457120103</v>
      </c>
    </row>
    <row r="25" spans="1:25" x14ac:dyDescent="0.2">
      <c r="Q25" s="3" t="s">
        <v>96</v>
      </c>
      <c r="R25" s="4">
        <v>-3.8025946461856601</v>
      </c>
      <c r="S25" s="4">
        <v>7.3848403516521204</v>
      </c>
      <c r="T25" s="4">
        <v>0.64736185492316001</v>
      </c>
    </row>
    <row r="26" spans="1:25" x14ac:dyDescent="0.2">
      <c r="Q26" s="3" t="s">
        <v>96</v>
      </c>
      <c r="R26" s="4">
        <v>-3.56576988512878</v>
      </c>
      <c r="S26" s="4">
        <v>8.61321682626666</v>
      </c>
      <c r="T26" s="4">
        <v>-0.61477859666760004</v>
      </c>
    </row>
    <row r="30" spans="1:25" x14ac:dyDescent="0.2">
      <c r="A30" s="9" t="s">
        <v>99</v>
      </c>
      <c r="B30" s="9"/>
      <c r="C30" s="9"/>
      <c r="D30" s="9"/>
      <c r="E30" s="9" t="s">
        <v>100</v>
      </c>
      <c r="F30" s="9"/>
      <c r="G30" s="9"/>
      <c r="H30" s="9"/>
      <c r="I30" s="9" t="s">
        <v>101</v>
      </c>
      <c r="J30" s="9"/>
      <c r="K30" s="9"/>
      <c r="L30" s="9"/>
      <c r="M30" s="11" t="s">
        <v>102</v>
      </c>
      <c r="N30" s="11"/>
      <c r="O30" s="11"/>
      <c r="P30" s="11"/>
      <c r="Q30" s="11" t="s">
        <v>102</v>
      </c>
      <c r="R30" s="11"/>
      <c r="S30" s="11"/>
      <c r="T30" s="11"/>
      <c r="U30" s="12"/>
      <c r="V30" s="12"/>
      <c r="W30" s="12"/>
      <c r="X30" s="12"/>
      <c r="Y30" s="12"/>
    </row>
    <row r="31" spans="1:25" x14ac:dyDescent="0.2">
      <c r="A31" s="4" t="s">
        <v>94</v>
      </c>
      <c r="B31" s="4">
        <v>3.4982320838043801</v>
      </c>
      <c r="C31" s="4">
        <v>1.2444717810908399</v>
      </c>
      <c r="D31" s="4">
        <v>-1.0850659731832899</v>
      </c>
      <c r="E31" s="4" t="s">
        <v>93</v>
      </c>
      <c r="F31" s="4">
        <v>-1.3304040748269099</v>
      </c>
      <c r="G31" s="4">
        <v>2.6926727647780502</v>
      </c>
      <c r="H31" s="4">
        <v>0.92946748125070999</v>
      </c>
      <c r="I31" s="4" t="s">
        <v>93</v>
      </c>
      <c r="J31" s="4">
        <v>-5.441153678045E-2</v>
      </c>
      <c r="K31" s="4">
        <v>-2.2815808187275901</v>
      </c>
      <c r="L31" s="4">
        <v>-1.8657741427264301</v>
      </c>
      <c r="M31" s="4" t="s">
        <v>93</v>
      </c>
      <c r="N31" s="4">
        <v>-1.34649944107663</v>
      </c>
      <c r="O31" s="4">
        <v>-2.1686222914574902</v>
      </c>
      <c r="P31" s="4">
        <v>-0.84992374774868995</v>
      </c>
      <c r="Q31" s="4" t="s">
        <v>93</v>
      </c>
      <c r="R31" s="4">
        <v>8.2016020999999995E-2</v>
      </c>
      <c r="S31" s="4">
        <v>2.6703600000000001E-3</v>
      </c>
      <c r="T31" s="4">
        <v>5.9043811000000002E-2</v>
      </c>
    </row>
    <row r="32" spans="1:25" x14ac:dyDescent="0.2">
      <c r="A32" s="4" t="s">
        <v>97</v>
      </c>
      <c r="B32" s="4">
        <v>2.6517866955083802</v>
      </c>
      <c r="C32" s="4">
        <v>2.36683980165063</v>
      </c>
      <c r="D32" s="4">
        <v>2.7777574784906598</v>
      </c>
      <c r="E32" s="4" t="s">
        <v>93</v>
      </c>
      <c r="F32" s="4">
        <v>0.96390529547470005</v>
      </c>
      <c r="G32" s="4">
        <v>2.7626255698208801</v>
      </c>
      <c r="H32" s="4">
        <v>1.5016150777933199</v>
      </c>
      <c r="I32" s="4" t="s">
        <v>93</v>
      </c>
      <c r="J32" s="4">
        <v>-0.58136291318335998</v>
      </c>
      <c r="K32" s="4">
        <v>-4.3445480643568803</v>
      </c>
      <c r="L32" s="4">
        <v>-2.77465153519005</v>
      </c>
      <c r="M32" s="4" t="s">
        <v>94</v>
      </c>
      <c r="N32" s="4">
        <v>1.68483984892141</v>
      </c>
      <c r="O32" s="4">
        <v>-1.9603874372327701</v>
      </c>
      <c r="P32" s="4">
        <v>1.9640651516747101</v>
      </c>
      <c r="Q32" s="4" t="s">
        <v>93</v>
      </c>
      <c r="R32" s="4">
        <v>2.762769021</v>
      </c>
      <c r="S32" s="4">
        <v>0.79950536000000005</v>
      </c>
      <c r="T32" s="4">
        <v>-0.334164189</v>
      </c>
    </row>
    <row r="33" spans="1:20" x14ac:dyDescent="0.2">
      <c r="A33" s="4" t="s">
        <v>97</v>
      </c>
      <c r="B33" s="4">
        <v>1.1376567919082501</v>
      </c>
      <c r="C33" s="4">
        <v>3.22491723781937</v>
      </c>
      <c r="D33" s="4">
        <v>1.3412795275064899</v>
      </c>
      <c r="E33" s="4" t="s">
        <v>94</v>
      </c>
      <c r="F33" s="4">
        <v>2.9895252302334701</v>
      </c>
      <c r="G33" s="4">
        <v>1.9864367414008499</v>
      </c>
      <c r="H33" s="4">
        <v>2.1254134803542102</v>
      </c>
      <c r="I33" s="4" t="s">
        <v>94</v>
      </c>
      <c r="J33" s="4">
        <v>0.12394829377232</v>
      </c>
      <c r="K33" s="4">
        <v>-0.18760462835641001</v>
      </c>
      <c r="L33" s="4">
        <v>-1.2903984752962001</v>
      </c>
      <c r="M33" s="4" t="s">
        <v>94</v>
      </c>
      <c r="N33" s="4">
        <v>-1.60515791488767</v>
      </c>
      <c r="O33" s="4">
        <v>-1.77973686730672</v>
      </c>
      <c r="P33" s="4">
        <v>-3.05251073808313</v>
      </c>
      <c r="Q33" s="4" t="s">
        <v>94</v>
      </c>
      <c r="R33" s="4">
        <v>-1.632236979</v>
      </c>
      <c r="S33" s="4">
        <v>-1.97825764</v>
      </c>
      <c r="T33" s="4">
        <v>0.182540811</v>
      </c>
    </row>
    <row r="34" spans="1:20" x14ac:dyDescent="0.2">
      <c r="A34" s="4" t="s">
        <v>98</v>
      </c>
      <c r="B34" s="4">
        <v>0.53889335885684997</v>
      </c>
      <c r="C34" s="4">
        <v>0.28052038131883</v>
      </c>
      <c r="D34" s="4">
        <v>1.56459496645847</v>
      </c>
      <c r="E34" s="4" t="s">
        <v>97</v>
      </c>
      <c r="F34" s="4">
        <v>2.35576124639072</v>
      </c>
      <c r="G34" s="4">
        <v>-1.53551281143588</v>
      </c>
      <c r="H34" s="4">
        <v>-0.38099390880317002</v>
      </c>
      <c r="I34" s="4" t="s">
        <v>93</v>
      </c>
      <c r="J34" s="4">
        <v>7.9452835793930005E-2</v>
      </c>
      <c r="K34" s="4">
        <v>-1.15768067287443</v>
      </c>
      <c r="L34" s="4">
        <v>0.62517943950465005</v>
      </c>
      <c r="M34" s="4" t="s">
        <v>93</v>
      </c>
      <c r="N34" s="4">
        <v>-0.38464029723110998</v>
      </c>
      <c r="O34" s="4">
        <v>-2.4452004769488802</v>
      </c>
      <c r="P34" s="4">
        <v>1.2509596163548</v>
      </c>
      <c r="Q34" s="4" t="s">
        <v>93</v>
      </c>
      <c r="R34" s="4">
        <v>-0.33206897899999999</v>
      </c>
      <c r="S34" s="4">
        <v>-2.1028126399999998</v>
      </c>
      <c r="T34" s="4">
        <v>2.199290811</v>
      </c>
    </row>
    <row r="35" spans="1:20" x14ac:dyDescent="0.2">
      <c r="A35" s="4" t="s">
        <v>95</v>
      </c>
      <c r="B35" s="4">
        <v>1.8004760367416</v>
      </c>
      <c r="C35" s="4">
        <v>0.90549814323969002</v>
      </c>
      <c r="D35" s="4">
        <v>1.11739364180518</v>
      </c>
      <c r="E35" s="4" t="s">
        <v>97</v>
      </c>
      <c r="F35" s="4">
        <v>3.77299846996294</v>
      </c>
      <c r="G35" s="4">
        <v>-1.5935433502502301</v>
      </c>
      <c r="H35" s="4">
        <v>1.35337316905133</v>
      </c>
      <c r="I35" s="4" t="s">
        <v>94</v>
      </c>
      <c r="J35" s="4">
        <v>0.12317243107008</v>
      </c>
      <c r="K35" s="4">
        <v>-2.3431871973333398</v>
      </c>
      <c r="L35" s="4">
        <v>2.3801892392075299</v>
      </c>
      <c r="M35" s="4" t="s">
        <v>93</v>
      </c>
      <c r="N35" s="4">
        <v>-0.17488920538144001</v>
      </c>
      <c r="O35" s="4">
        <v>-0.40104017335636999</v>
      </c>
      <c r="P35" s="4">
        <v>-2.2091126077799101</v>
      </c>
      <c r="Q35" s="4" t="s">
        <v>94</v>
      </c>
      <c r="R35" s="4">
        <v>1.4384020209999999</v>
      </c>
      <c r="S35" s="4">
        <v>-2.0286356400000001</v>
      </c>
      <c r="T35" s="4">
        <v>3.867438811</v>
      </c>
    </row>
    <row r="36" spans="1:20" x14ac:dyDescent="0.2">
      <c r="A36" s="4" t="s">
        <v>95</v>
      </c>
      <c r="B36" s="4">
        <v>1.8293774994096399</v>
      </c>
      <c r="C36" s="4">
        <v>0.97095434201834996</v>
      </c>
      <c r="D36" s="4">
        <v>-0.40104720886796003</v>
      </c>
      <c r="E36" s="4" t="s">
        <v>98</v>
      </c>
      <c r="F36" s="4">
        <v>0.62625718840933997</v>
      </c>
      <c r="G36" s="4">
        <v>-1.3371270947023901</v>
      </c>
      <c r="H36" s="4">
        <v>2.02007529474947</v>
      </c>
      <c r="I36" s="4" t="s">
        <v>95</v>
      </c>
      <c r="J36" s="4">
        <v>0.52467481690661999</v>
      </c>
      <c r="K36" s="4">
        <v>-1.3845856321590599</v>
      </c>
      <c r="L36" s="4">
        <v>3.8821046358581102</v>
      </c>
      <c r="M36" s="4" t="s">
        <v>93</v>
      </c>
      <c r="N36" s="4">
        <v>0.9655008400749</v>
      </c>
      <c r="O36" s="4">
        <v>-0.77000890886536</v>
      </c>
      <c r="P36" s="4">
        <v>0.20592681089834999</v>
      </c>
      <c r="Q36" s="4" t="s">
        <v>93</v>
      </c>
      <c r="R36" s="4">
        <v>2.1753800210000001</v>
      </c>
      <c r="S36" s="4">
        <v>-0.65806164</v>
      </c>
      <c r="T36" s="4">
        <v>1.835964811</v>
      </c>
    </row>
    <row r="37" spans="1:20" x14ac:dyDescent="0.2">
      <c r="A37" s="4" t="s">
        <v>95</v>
      </c>
      <c r="B37" s="4">
        <v>1.8245706654287199</v>
      </c>
      <c r="C37" s="4">
        <v>2.3023072528440598</v>
      </c>
      <c r="D37" s="4">
        <v>1.7156615325643401</v>
      </c>
      <c r="E37" s="4" t="s">
        <v>95</v>
      </c>
      <c r="F37" s="4">
        <v>1.6548095457112899</v>
      </c>
      <c r="G37" s="4">
        <v>-0.37332798524931998</v>
      </c>
      <c r="H37" s="4">
        <v>1.56326540168474</v>
      </c>
      <c r="I37" s="4" t="s">
        <v>96</v>
      </c>
      <c r="J37" s="4">
        <v>-0.32094544303401001</v>
      </c>
      <c r="K37" s="4">
        <v>-1.4280022388378499</v>
      </c>
      <c r="L37" s="4">
        <v>4.5723462980459502</v>
      </c>
      <c r="M37" s="4" t="s">
        <v>94</v>
      </c>
      <c r="N37" s="4">
        <v>0.80374065741890999</v>
      </c>
      <c r="O37" s="4">
        <v>1.0283547525944801</v>
      </c>
      <c r="P37" s="4">
        <v>-0.98254021761468002</v>
      </c>
      <c r="Q37" s="4" t="s">
        <v>93</v>
      </c>
      <c r="R37" s="4">
        <v>0.76568002099999999</v>
      </c>
      <c r="S37" s="4">
        <v>2.11576736</v>
      </c>
      <c r="T37" s="4">
        <v>-2.0031781890000002</v>
      </c>
    </row>
    <row r="38" spans="1:20" x14ac:dyDescent="0.2">
      <c r="A38" s="4" t="s">
        <v>96</v>
      </c>
      <c r="B38" s="4">
        <v>2.6919818579851502</v>
      </c>
      <c r="C38" s="4">
        <v>0.37170320697907</v>
      </c>
      <c r="D38" s="4">
        <v>1.46193147514347</v>
      </c>
      <c r="E38" s="4" t="s">
        <v>95</v>
      </c>
      <c r="F38" s="4">
        <v>2.20674413284108</v>
      </c>
      <c r="G38" s="4">
        <v>0.44500533694055</v>
      </c>
      <c r="H38" s="4">
        <v>2.7198263652400501</v>
      </c>
      <c r="I38" s="4" t="s">
        <v>96</v>
      </c>
      <c r="J38" s="4">
        <v>1.3831133380955201</v>
      </c>
      <c r="K38" s="4">
        <v>-1.8630610600509601</v>
      </c>
      <c r="L38" s="4">
        <v>4.3662472422893197</v>
      </c>
      <c r="M38" s="4" t="s">
        <v>95</v>
      </c>
      <c r="N38" s="4">
        <v>1.94381284570851</v>
      </c>
      <c r="O38" s="4">
        <v>-0.77673158389426999</v>
      </c>
      <c r="P38" s="4">
        <v>3.3359375654828902</v>
      </c>
      <c r="Q38" s="4" t="s">
        <v>94</v>
      </c>
      <c r="R38" s="4">
        <v>-1.402255979</v>
      </c>
      <c r="S38" s="4">
        <v>1.8924193600000001</v>
      </c>
      <c r="T38" s="4">
        <v>-0.99154618900000002</v>
      </c>
    </row>
    <row r="39" spans="1:20" x14ac:dyDescent="0.2">
      <c r="A39" s="4" t="s">
        <v>96</v>
      </c>
      <c r="B39" s="4">
        <v>1.48223769751138</v>
      </c>
      <c r="C39" s="4">
        <v>5.9597544151200003E-3</v>
      </c>
      <c r="D39" s="4">
        <v>-0.78788006415331002</v>
      </c>
      <c r="E39" s="4" t="s">
        <v>95</v>
      </c>
      <c r="F39" s="4">
        <v>2.72867603941538</v>
      </c>
      <c r="G39" s="4">
        <v>-1.1906825642079999</v>
      </c>
      <c r="H39" s="4">
        <v>0.89457326372001</v>
      </c>
      <c r="I39" s="4" t="s">
        <v>96</v>
      </c>
      <c r="J39" s="4">
        <v>1.6454237960639699</v>
      </c>
      <c r="K39" s="4">
        <v>0.12951372101469</v>
      </c>
      <c r="L39" s="4">
        <v>2.8739336064429701</v>
      </c>
      <c r="M39" s="4" t="s">
        <v>96</v>
      </c>
      <c r="N39" s="4">
        <v>0.99513440399008002</v>
      </c>
      <c r="O39" s="4">
        <v>-0.36911757402322998</v>
      </c>
      <c r="P39" s="4">
        <v>3.6860524849673602</v>
      </c>
      <c r="Q39" s="4" t="s">
        <v>94</v>
      </c>
      <c r="R39" s="4">
        <v>3.1545750209999999</v>
      </c>
      <c r="S39" s="4">
        <v>2.1601183599999998</v>
      </c>
      <c r="T39" s="4">
        <v>-2.4657671890000001</v>
      </c>
    </row>
    <row r="40" spans="1:20" x14ac:dyDescent="0.2">
      <c r="A40" s="4" t="s">
        <v>96</v>
      </c>
      <c r="B40" s="4">
        <v>1.12483072141832</v>
      </c>
      <c r="C40" s="4">
        <v>1.73711684641669</v>
      </c>
      <c r="D40" s="4">
        <v>-0.72966033076173997</v>
      </c>
      <c r="E40" s="4" t="s">
        <v>96</v>
      </c>
      <c r="F40" s="4">
        <v>1.25292555971947</v>
      </c>
      <c r="G40" s="4">
        <v>0.33497841225836</v>
      </c>
      <c r="H40" s="4">
        <v>0.82814222514960001</v>
      </c>
      <c r="I40" s="4" t="s">
        <v>95</v>
      </c>
      <c r="J40" s="4">
        <v>0.87262082909859995</v>
      </c>
      <c r="K40" s="4">
        <v>6.9576029708990003E-2</v>
      </c>
      <c r="L40" s="4">
        <v>3.6482965927139301</v>
      </c>
      <c r="M40" s="4" t="s">
        <v>96</v>
      </c>
      <c r="N40" s="4">
        <v>2.4062745248795201</v>
      </c>
      <c r="O40" s="4">
        <v>-1.3307209893406</v>
      </c>
      <c r="P40" s="4">
        <v>4.15831962694143</v>
      </c>
      <c r="Q40" s="4" t="s">
        <v>95</v>
      </c>
      <c r="R40" s="4">
        <v>1.9023629870000001</v>
      </c>
      <c r="S40" s="4">
        <v>-2.6106208149999999</v>
      </c>
      <c r="T40" s="4">
        <v>5.528292049</v>
      </c>
    </row>
    <row r="41" spans="1:20" x14ac:dyDescent="0.2">
      <c r="A41" s="4" t="s">
        <v>96</v>
      </c>
      <c r="B41" s="4">
        <v>0.53940226449938999</v>
      </c>
      <c r="C41" s="4">
        <v>0.21981190339573001</v>
      </c>
      <c r="D41" s="4">
        <v>2.5802848766731801</v>
      </c>
      <c r="E41" s="4" t="s">
        <v>96</v>
      </c>
      <c r="F41" s="4">
        <v>1.3609171478838999</v>
      </c>
      <c r="G41" s="4">
        <v>0.69195892882328003</v>
      </c>
      <c r="H41" s="4">
        <v>3.3698359070160602</v>
      </c>
      <c r="I41" s="4" t="s">
        <v>95</v>
      </c>
      <c r="J41" s="4">
        <v>-0.34313697247142</v>
      </c>
      <c r="K41" s="4">
        <v>0.81311555290315995</v>
      </c>
      <c r="L41" s="4">
        <v>3.1367405148149299</v>
      </c>
      <c r="M41" s="4" t="s">
        <v>96</v>
      </c>
      <c r="N41" s="4">
        <v>3.5895839271999201</v>
      </c>
      <c r="O41" s="4">
        <v>-1.205527401058E-2</v>
      </c>
      <c r="P41" s="4">
        <v>2.1974556840514499</v>
      </c>
      <c r="Q41" s="4" t="s">
        <v>96</v>
      </c>
      <c r="R41" s="4">
        <v>1.1497369930000001</v>
      </c>
      <c r="S41" s="4">
        <v>-2.2385045090000002</v>
      </c>
      <c r="T41" s="4">
        <v>6.2329088449999999</v>
      </c>
    </row>
    <row r="42" spans="1:20" x14ac:dyDescent="0.2">
      <c r="A42" s="4" t="s">
        <v>96</v>
      </c>
      <c r="B42" s="4">
        <v>0.53279806034467003</v>
      </c>
      <c r="C42" s="4">
        <v>-0.67699294118553999</v>
      </c>
      <c r="D42" s="4">
        <v>1.22299400914749</v>
      </c>
      <c r="E42" s="4" t="s">
        <v>96</v>
      </c>
      <c r="F42" s="4">
        <v>2.9145503120342098</v>
      </c>
      <c r="G42" s="4">
        <v>-0.16010334350916</v>
      </c>
      <c r="H42" s="4">
        <v>3.2947931987520498</v>
      </c>
      <c r="I42" s="4" t="s">
        <v>97</v>
      </c>
      <c r="J42" s="4">
        <v>-1.48535830625277</v>
      </c>
      <c r="K42" s="4">
        <v>0.60577889128264995</v>
      </c>
      <c r="L42" s="4">
        <v>3.5083180054920802</v>
      </c>
      <c r="M42" s="4" t="s">
        <v>95</v>
      </c>
      <c r="N42" s="4">
        <v>2.8647394357098301</v>
      </c>
      <c r="O42" s="4">
        <v>0.36020544343451999</v>
      </c>
      <c r="P42" s="4">
        <v>2.9309166473464301</v>
      </c>
      <c r="Q42" s="4" t="s">
        <v>96</v>
      </c>
      <c r="R42" s="4">
        <v>1.846346362</v>
      </c>
      <c r="S42" s="4">
        <v>-3.7046790949999999</v>
      </c>
      <c r="T42" s="4">
        <v>5.5268827969999998</v>
      </c>
    </row>
    <row r="43" spans="1:20" x14ac:dyDescent="0.2">
      <c r="A43" s="4" t="s">
        <v>96</v>
      </c>
      <c r="B43" s="4">
        <v>2.6749818631419902</v>
      </c>
      <c r="C43" s="4">
        <v>3.3014516624346899</v>
      </c>
      <c r="D43" s="4">
        <v>3.08902403216781</v>
      </c>
      <c r="E43" s="4" t="s">
        <v>96</v>
      </c>
      <c r="F43" s="4">
        <v>0.16108480331934999</v>
      </c>
      <c r="G43" s="4">
        <v>-1.7149408350824</v>
      </c>
      <c r="H43" s="4">
        <v>1.1948922359555401</v>
      </c>
      <c r="I43" s="4" t="s">
        <v>97</v>
      </c>
      <c r="J43" s="4">
        <v>-1.217960274125E-2</v>
      </c>
      <c r="K43" s="4">
        <v>1.7579988273388201</v>
      </c>
      <c r="L43" s="4">
        <v>2.2546195966218199</v>
      </c>
      <c r="M43" s="4" t="s">
        <v>95</v>
      </c>
      <c r="N43" s="4">
        <v>2.09683031814903</v>
      </c>
      <c r="O43" s="4">
        <v>1.5025447196172801</v>
      </c>
      <c r="P43" s="4">
        <v>2.2891632619006601</v>
      </c>
      <c r="Q43" s="4" t="s">
        <v>96</v>
      </c>
      <c r="R43" s="4">
        <v>4.0395918880000004</v>
      </c>
      <c r="S43" s="4">
        <v>-2.5539671240000001</v>
      </c>
      <c r="T43" s="4">
        <v>5.2138849169999997</v>
      </c>
    </row>
    <row r="44" spans="1:20" x14ac:dyDescent="0.2">
      <c r="A44" s="4" t="s">
        <v>93</v>
      </c>
      <c r="B44" s="4">
        <v>4.2038436020288996</v>
      </c>
      <c r="C44" s="4">
        <v>3.0542684615425202</v>
      </c>
      <c r="D44" s="4">
        <v>-0.21995177557635001</v>
      </c>
      <c r="E44" s="4" t="s">
        <v>96</v>
      </c>
      <c r="F44" s="4">
        <v>-8.8665768532789999E-2</v>
      </c>
      <c r="G44" s="4">
        <v>-0.75794831454814005</v>
      </c>
      <c r="H44" s="4">
        <v>2.4616274728929501</v>
      </c>
      <c r="I44" s="4" t="s">
        <v>96</v>
      </c>
      <c r="J44" s="4">
        <v>-0.84382836971377995</v>
      </c>
      <c r="K44" s="4">
        <v>2.0469269425410199</v>
      </c>
      <c r="L44" s="4">
        <v>1.8060476574683499</v>
      </c>
      <c r="M44" s="4" t="s">
        <v>97</v>
      </c>
      <c r="N44" s="4">
        <v>0.94269326333406001</v>
      </c>
      <c r="O44" s="4">
        <v>1.7900555956709601</v>
      </c>
      <c r="P44" s="4">
        <v>2.4950270611222498</v>
      </c>
      <c r="Q44" s="4" t="s">
        <v>95</v>
      </c>
      <c r="R44" s="4">
        <v>3.306924145</v>
      </c>
      <c r="S44" s="4">
        <v>-2.1511705769999998</v>
      </c>
      <c r="T44" s="4">
        <v>5.9238036860000003</v>
      </c>
    </row>
    <row r="45" spans="1:20" x14ac:dyDescent="0.2">
      <c r="A45" s="4" t="s">
        <v>94</v>
      </c>
      <c r="B45" s="4">
        <v>4.9655572611405203</v>
      </c>
      <c r="C45" s="4">
        <v>4.8376115395405099</v>
      </c>
      <c r="D45" s="4">
        <v>0.67005242740138005</v>
      </c>
      <c r="E45" s="4" t="s">
        <v>96</v>
      </c>
      <c r="F45" s="4">
        <v>3.0846995742025798</v>
      </c>
      <c r="G45" s="4">
        <v>-2.0942858421162902</v>
      </c>
      <c r="H45" s="4">
        <v>-0.69821861268007002</v>
      </c>
      <c r="I45" s="4" t="s">
        <v>98</v>
      </c>
      <c r="J45" s="4">
        <v>1.2661331440336501</v>
      </c>
      <c r="K45" s="4">
        <v>0.70869526867891997</v>
      </c>
      <c r="L45" s="4">
        <v>4.91729897279457</v>
      </c>
      <c r="M45" s="4" t="s">
        <v>97</v>
      </c>
      <c r="N45" s="4">
        <v>2.9244305778526298</v>
      </c>
      <c r="O45" s="4">
        <v>2.23920688837033</v>
      </c>
      <c r="P45" s="4">
        <v>1.5115159828388101</v>
      </c>
      <c r="Q45" s="4" t="s">
        <v>95</v>
      </c>
      <c r="R45" s="4">
        <v>3.4387524379999999</v>
      </c>
      <c r="S45" s="4">
        <v>-0.63970695200000005</v>
      </c>
      <c r="T45" s="4">
        <v>5.922767479</v>
      </c>
    </row>
    <row r="46" spans="1:20" x14ac:dyDescent="0.2">
      <c r="A46" s="4" t="s">
        <v>97</v>
      </c>
      <c r="B46" s="4">
        <v>3.7024445758388902</v>
      </c>
      <c r="C46" s="4">
        <v>7.0755323636923499</v>
      </c>
      <c r="D46" s="4">
        <v>3.2424483768019701</v>
      </c>
      <c r="E46" s="4" t="s">
        <v>94</v>
      </c>
      <c r="F46" s="4">
        <v>-3.1947971503000101</v>
      </c>
      <c r="G46" s="4">
        <v>2.0370101625155099</v>
      </c>
      <c r="H46" s="4">
        <v>-0.16329643257709001</v>
      </c>
      <c r="I46" s="4" t="s">
        <v>96</v>
      </c>
      <c r="J46" s="4">
        <v>2.0333542323834202</v>
      </c>
      <c r="K46" s="4">
        <v>0.17110440454219</v>
      </c>
      <c r="L46" s="4">
        <v>5.3114499854121497</v>
      </c>
      <c r="M46" s="4" t="s">
        <v>96</v>
      </c>
      <c r="N46" s="4">
        <v>2.39584518908767</v>
      </c>
      <c r="O46" s="4">
        <v>2.9524704280013201</v>
      </c>
      <c r="P46" s="4">
        <v>1.0969941527084599</v>
      </c>
      <c r="Q46" s="4" t="s">
        <v>97</v>
      </c>
      <c r="R46" s="4">
        <v>2.5329254209999998</v>
      </c>
      <c r="S46" s="4">
        <v>0.11565818</v>
      </c>
      <c r="T46" s="4">
        <v>5.5901697869999998</v>
      </c>
    </row>
    <row r="47" spans="1:20" x14ac:dyDescent="0.2">
      <c r="A47" s="4" t="s">
        <v>97</v>
      </c>
      <c r="B47" s="4">
        <v>3.03322271564276</v>
      </c>
      <c r="C47" s="4">
        <v>4.9872792553612699</v>
      </c>
      <c r="D47" s="4">
        <v>3.6770637631842802</v>
      </c>
      <c r="E47" s="4" t="s">
        <v>97</v>
      </c>
      <c r="F47" s="4">
        <v>-1.5074496555054899</v>
      </c>
      <c r="G47" s="4">
        <v>-2.0475719792468201</v>
      </c>
      <c r="H47" s="4">
        <v>-0.48600838225553999</v>
      </c>
      <c r="I47" s="4" t="s">
        <v>96</v>
      </c>
      <c r="J47" s="4">
        <v>1.6353115072298801</v>
      </c>
      <c r="K47" s="4">
        <v>1.6364756340814901</v>
      </c>
      <c r="L47" s="4">
        <v>4.7243420872375301</v>
      </c>
      <c r="M47" s="4" t="s">
        <v>98</v>
      </c>
      <c r="N47" s="4">
        <v>3.5050693032132401</v>
      </c>
      <c r="O47" s="4">
        <v>0.94567497553081004</v>
      </c>
      <c r="P47" s="4">
        <v>4.1257661382590198</v>
      </c>
      <c r="Q47" s="4" t="s">
        <v>97</v>
      </c>
      <c r="R47" s="4">
        <v>4.6674084919999999</v>
      </c>
      <c r="S47" s="4">
        <v>-0.19701128600000001</v>
      </c>
      <c r="T47" s="4">
        <v>6.2915329130000002</v>
      </c>
    </row>
    <row r="48" spans="1:20" x14ac:dyDescent="0.2">
      <c r="A48" s="4" t="s">
        <v>98</v>
      </c>
      <c r="B48" s="4">
        <v>5.8656527579527298</v>
      </c>
      <c r="C48" s="4">
        <v>4.9875454287147303</v>
      </c>
      <c r="D48" s="4">
        <v>4.6353076766476304</v>
      </c>
      <c r="E48" s="4" t="s">
        <v>97</v>
      </c>
      <c r="F48" s="4">
        <v>-3.0845984440530998</v>
      </c>
      <c r="G48" s="4">
        <v>-1.3007036482030201</v>
      </c>
      <c r="H48" s="4">
        <v>-1.89121177280019</v>
      </c>
      <c r="I48" s="4" t="s">
        <v>95</v>
      </c>
      <c r="J48" s="4">
        <v>-1.5508087079066899</v>
      </c>
      <c r="K48" s="4">
        <v>0.36538578279603001</v>
      </c>
      <c r="L48" s="4">
        <v>-1.7996114162382399</v>
      </c>
      <c r="M48" s="4" t="s">
        <v>96</v>
      </c>
      <c r="N48" s="4">
        <v>4.0899208433446699</v>
      </c>
      <c r="O48" s="4">
        <v>0.23098178166562</v>
      </c>
      <c r="P48" s="4">
        <v>4.5502060748747697</v>
      </c>
      <c r="Q48" s="4" t="s">
        <v>96</v>
      </c>
      <c r="R48" s="4">
        <v>4.7266716329999996</v>
      </c>
      <c r="S48" s="4">
        <v>0.78178456799999996</v>
      </c>
      <c r="T48" s="4">
        <v>6.265994568</v>
      </c>
    </row>
    <row r="49" spans="1:20" x14ac:dyDescent="0.2">
      <c r="A49" s="4" t="s">
        <v>95</v>
      </c>
      <c r="B49" s="4">
        <v>5.4026828248692702</v>
      </c>
      <c r="C49" s="4">
        <v>5.4076322863177397</v>
      </c>
      <c r="D49" s="4">
        <v>3.3053421876329301</v>
      </c>
      <c r="E49" s="4" t="s">
        <v>98</v>
      </c>
      <c r="F49" s="4">
        <v>-0.13125643416803001</v>
      </c>
      <c r="G49" s="4">
        <v>6.5673170801969993E-2</v>
      </c>
      <c r="H49" s="4">
        <v>-1.9814422659673601</v>
      </c>
      <c r="I49" s="4" t="s">
        <v>96</v>
      </c>
      <c r="J49" s="4">
        <v>-1.5493674561778801</v>
      </c>
      <c r="K49" s="4">
        <v>1.4561121817565399</v>
      </c>
      <c r="L49" s="4">
        <v>-1.8339950745342899</v>
      </c>
      <c r="M49" s="4" t="s">
        <v>96</v>
      </c>
      <c r="N49" s="4">
        <v>4.1308393700412198</v>
      </c>
      <c r="O49" s="4">
        <v>1.69075423486049</v>
      </c>
      <c r="P49" s="4">
        <v>3.8283767978138799</v>
      </c>
      <c r="Q49" s="4" t="s">
        <v>98</v>
      </c>
      <c r="R49" s="4">
        <v>3.6263043019999999</v>
      </c>
      <c r="S49" s="4">
        <v>-2.620889746</v>
      </c>
      <c r="T49" s="4">
        <v>7.2733823600000003</v>
      </c>
    </row>
    <row r="50" spans="1:20" x14ac:dyDescent="0.2">
      <c r="A50" s="4" t="s">
        <v>95</v>
      </c>
      <c r="B50" s="4">
        <v>5.56446089110774</v>
      </c>
      <c r="C50" s="4">
        <v>4.2793412479392599</v>
      </c>
      <c r="D50" s="4">
        <v>2.30000712306681</v>
      </c>
      <c r="E50" s="4" t="s">
        <v>95</v>
      </c>
      <c r="F50" s="4">
        <v>-1.3257686401481299</v>
      </c>
      <c r="G50" s="4">
        <v>0.22858791532405001</v>
      </c>
      <c r="H50" s="4">
        <v>-1.1207444857257001</v>
      </c>
      <c r="I50" s="4" t="s">
        <v>96</v>
      </c>
      <c r="J50" s="4">
        <v>-1.73336449428248</v>
      </c>
      <c r="K50" s="4">
        <v>-1.862565798844E-2</v>
      </c>
      <c r="L50" s="4">
        <v>-2.8060229646973598</v>
      </c>
      <c r="M50" s="4" t="s">
        <v>95</v>
      </c>
      <c r="N50" s="4">
        <v>2.2996715574176498</v>
      </c>
      <c r="O50" s="4">
        <v>1.7131806342107201</v>
      </c>
      <c r="P50" s="4">
        <v>-1.7686126953161001</v>
      </c>
      <c r="Q50" s="4" t="s">
        <v>96</v>
      </c>
      <c r="R50" s="4">
        <v>3.553788028</v>
      </c>
      <c r="S50" s="4">
        <v>-3.637071717</v>
      </c>
      <c r="T50" s="4">
        <v>7.3070430630000001</v>
      </c>
    </row>
    <row r="51" spans="1:20" x14ac:dyDescent="0.2">
      <c r="A51" s="4" t="s">
        <v>95</v>
      </c>
      <c r="B51" s="4">
        <v>3.9317640309831701</v>
      </c>
      <c r="C51" s="4">
        <v>5.7555144779166403</v>
      </c>
      <c r="D51" s="4">
        <v>3.4096344758588</v>
      </c>
      <c r="E51" s="4" t="s">
        <v>95</v>
      </c>
      <c r="F51" s="4">
        <v>-2.15496569176356</v>
      </c>
      <c r="G51" s="4">
        <v>1.43323526632096</v>
      </c>
      <c r="H51" s="4">
        <v>-1.5403079774058399</v>
      </c>
      <c r="I51" s="4" t="s">
        <v>96</v>
      </c>
      <c r="J51" s="4">
        <v>-2.5426188677030002</v>
      </c>
      <c r="K51" s="4">
        <v>-1.1741711832342101</v>
      </c>
      <c r="L51" s="4">
        <v>-0.68917175114219997</v>
      </c>
      <c r="M51" s="4" t="s">
        <v>96</v>
      </c>
      <c r="N51" s="4">
        <v>3.0541336970998598</v>
      </c>
      <c r="O51" s="4">
        <v>1.9144405953811301</v>
      </c>
      <c r="P51" s="4">
        <v>-1.0057387445085499</v>
      </c>
      <c r="Q51" s="4" t="s">
        <v>96</v>
      </c>
      <c r="R51" s="4">
        <v>4.5974501959999996</v>
      </c>
      <c r="S51" s="4">
        <v>-2.3992754590000001</v>
      </c>
      <c r="T51" s="4">
        <v>7.4907593869999998</v>
      </c>
    </row>
    <row r="52" spans="1:20" x14ac:dyDescent="0.2">
      <c r="A52" s="4" t="s">
        <v>96</v>
      </c>
      <c r="B52" s="4">
        <v>5.9233520369062704</v>
      </c>
      <c r="C52" s="4">
        <v>6.29075531333811</v>
      </c>
      <c r="D52" s="4">
        <v>2.9193679295617798</v>
      </c>
      <c r="E52" s="4" t="s">
        <v>95</v>
      </c>
      <c r="F52" s="4">
        <v>-2.1025309559893999</v>
      </c>
      <c r="G52" s="4">
        <v>-1.05643809971497</v>
      </c>
      <c r="H52" s="4">
        <v>-1.22834344764241</v>
      </c>
      <c r="I52" s="4" t="s">
        <v>95</v>
      </c>
      <c r="J52" s="4">
        <v>-2.6619351557525399</v>
      </c>
      <c r="K52" s="4">
        <v>-0.10218467665498999</v>
      </c>
      <c r="L52" s="4">
        <v>-0.88401863647676004</v>
      </c>
      <c r="M52" s="4" t="s">
        <v>96</v>
      </c>
      <c r="N52" s="4">
        <v>2.7080284778933099</v>
      </c>
      <c r="O52" s="4">
        <v>1.02558226896919</v>
      </c>
      <c r="P52" s="4">
        <v>-2.51064865608453</v>
      </c>
      <c r="Q52" s="4" t="s">
        <v>95</v>
      </c>
      <c r="R52" s="4">
        <v>-2.9988000069999998</v>
      </c>
      <c r="S52" s="4">
        <v>-2.8198291090000001</v>
      </c>
      <c r="T52" s="4">
        <v>-0.67574990300000004</v>
      </c>
    </row>
    <row r="53" spans="1:20" x14ac:dyDescent="0.2">
      <c r="A53" s="4" t="s">
        <v>96</v>
      </c>
      <c r="B53" s="4">
        <v>6.6282223586019899</v>
      </c>
      <c r="C53" s="4">
        <v>4.0194592117802603</v>
      </c>
      <c r="D53" s="4">
        <v>2.2520804091234199</v>
      </c>
      <c r="E53" s="4" t="s">
        <v>96</v>
      </c>
      <c r="F53" s="4">
        <v>-1.05222810790216</v>
      </c>
      <c r="G53" s="4">
        <v>0.37460284345062</v>
      </c>
      <c r="H53" s="4">
        <v>-6.789436217948E-2</v>
      </c>
      <c r="I53" s="4" t="s">
        <v>95</v>
      </c>
      <c r="J53" s="4">
        <v>-2.5691031840321101</v>
      </c>
      <c r="K53" s="4">
        <v>0.61999525730288996</v>
      </c>
      <c r="L53" s="4">
        <v>0.44464410591663001</v>
      </c>
      <c r="M53" s="4" t="s">
        <v>96</v>
      </c>
      <c r="N53" s="4">
        <v>1.0913930721416101</v>
      </c>
      <c r="O53" s="4">
        <v>2.7804166417114198</v>
      </c>
      <c r="P53" s="4">
        <v>-3.1720615300292501</v>
      </c>
      <c r="Q53" s="4" t="s">
        <v>96</v>
      </c>
      <c r="R53" s="4">
        <v>-2.959513566</v>
      </c>
      <c r="S53" s="4">
        <v>-2.5257931419999999</v>
      </c>
      <c r="T53" s="4">
        <v>-1.7309279390000001</v>
      </c>
    </row>
    <row r="54" spans="1:20" x14ac:dyDescent="0.2">
      <c r="A54" s="4" t="s">
        <v>96</v>
      </c>
      <c r="B54" s="4">
        <v>5.0170925473594403</v>
      </c>
      <c r="C54" s="4">
        <v>3.4052796079680001</v>
      </c>
      <c r="D54" s="4">
        <v>2.6563000965617598</v>
      </c>
      <c r="E54" s="4" t="s">
        <v>96</v>
      </c>
      <c r="F54" s="4">
        <v>-1.4516266839326999</v>
      </c>
      <c r="G54" s="4">
        <v>2.2172995157756601</v>
      </c>
      <c r="H54" s="4">
        <v>-1.8382026595529499</v>
      </c>
      <c r="I54" s="4" t="s">
        <v>97</v>
      </c>
      <c r="J54" s="4">
        <v>-2.1100746252131799</v>
      </c>
      <c r="K54" s="4">
        <v>1.7428661218502699</v>
      </c>
      <c r="L54" s="4">
        <v>0.57939229034428996</v>
      </c>
      <c r="M54" s="4" t="s">
        <v>95</v>
      </c>
      <c r="N54" s="4">
        <v>1.8769090106424999</v>
      </c>
      <c r="O54" s="4">
        <v>3.0080626014344598</v>
      </c>
      <c r="P54" s="4">
        <v>-2.4422220745921601</v>
      </c>
      <c r="Q54" s="4" t="s">
        <v>96</v>
      </c>
      <c r="R54" s="4">
        <v>-2.8133366139999998</v>
      </c>
      <c r="S54" s="4">
        <v>-3.8981955519999998</v>
      </c>
      <c r="T54" s="4">
        <v>-0.62252853699999999</v>
      </c>
    </row>
    <row r="55" spans="1:20" x14ac:dyDescent="0.2">
      <c r="A55" s="4" t="s">
        <v>96</v>
      </c>
      <c r="B55" s="4">
        <v>6.1055878307240103</v>
      </c>
      <c r="C55" s="4">
        <v>5.7998167920828596</v>
      </c>
      <c r="D55" s="4">
        <v>5.1956852257778596</v>
      </c>
      <c r="E55" s="4" t="s">
        <v>96</v>
      </c>
      <c r="F55" s="4">
        <v>-2.7659879289565401</v>
      </c>
      <c r="G55" s="4">
        <v>1.17539777029526</v>
      </c>
      <c r="H55" s="4">
        <v>-2.4108311388554</v>
      </c>
      <c r="I55" s="4" t="s">
        <v>97</v>
      </c>
      <c r="J55" s="4">
        <v>-3.0803544077532901</v>
      </c>
      <c r="K55" s="4">
        <v>-9.8117879882780007E-2</v>
      </c>
      <c r="L55" s="4">
        <v>1.4395876661442799</v>
      </c>
      <c r="M55" s="4" t="s">
        <v>95</v>
      </c>
      <c r="N55" s="4">
        <v>1.2780937930582299</v>
      </c>
      <c r="O55" s="4">
        <v>3.9097072645003199</v>
      </c>
      <c r="P55" s="4">
        <v>-1.3772537606112001</v>
      </c>
      <c r="Q55" s="4" t="s">
        <v>96</v>
      </c>
      <c r="R55" s="4">
        <v>-4.3737511539999998</v>
      </c>
      <c r="S55" s="4">
        <v>-2.8059373619999999</v>
      </c>
      <c r="T55" s="4">
        <v>0.99132094800000004</v>
      </c>
    </row>
    <row r="56" spans="1:20" x14ac:dyDescent="0.2">
      <c r="A56" s="4" t="s">
        <v>96</v>
      </c>
      <c r="B56" s="4">
        <v>6.7186491279113101</v>
      </c>
      <c r="C56" s="4">
        <v>4.4498972956744103</v>
      </c>
      <c r="D56" s="4">
        <v>4.5156297150235103</v>
      </c>
      <c r="E56" s="4" t="s">
        <v>96</v>
      </c>
      <c r="F56" s="4">
        <v>0.47021648795302001</v>
      </c>
      <c r="G56" s="4">
        <v>-0.63964693090885005</v>
      </c>
      <c r="H56" s="4">
        <v>-1.55645691386491</v>
      </c>
      <c r="I56" s="4" t="s">
        <v>96</v>
      </c>
      <c r="J56" s="4">
        <v>-2.7761359778311099</v>
      </c>
      <c r="K56" s="4">
        <v>0.30687879290999998</v>
      </c>
      <c r="L56" s="4">
        <v>2.2891890605128</v>
      </c>
      <c r="M56" s="4" t="s">
        <v>97</v>
      </c>
      <c r="N56" s="4">
        <v>1.7790445244609701</v>
      </c>
      <c r="O56" s="4">
        <v>4.1886468538696198</v>
      </c>
      <c r="P56" s="4">
        <v>-0.31320440313325998</v>
      </c>
      <c r="Q56" s="4" t="s">
        <v>95</v>
      </c>
      <c r="R56" s="4">
        <v>-4.3567110270000002</v>
      </c>
      <c r="S56" s="4">
        <v>-2.4832095029999999</v>
      </c>
      <c r="T56" s="4">
        <v>-5.6814587999999999E-2</v>
      </c>
    </row>
    <row r="57" spans="1:20" x14ac:dyDescent="0.2">
      <c r="A57" s="4" t="s">
        <v>96</v>
      </c>
      <c r="B57" s="4">
        <v>2.7334125673740099</v>
      </c>
      <c r="C57" s="4">
        <v>7.1658313996935403</v>
      </c>
      <c r="D57" s="4">
        <v>3.2703037199432501</v>
      </c>
      <c r="E57" s="4" t="s">
        <v>96</v>
      </c>
      <c r="F57" s="4">
        <v>0.38885250353459</v>
      </c>
      <c r="G57" s="4">
        <v>0.93601693505369998</v>
      </c>
      <c r="H57" s="4">
        <v>-1.86094199296551</v>
      </c>
      <c r="I57" s="4" t="s">
        <v>98</v>
      </c>
      <c r="J57" s="4">
        <v>-3.9689329289598301</v>
      </c>
      <c r="K57" s="4">
        <v>0.23981194685613999</v>
      </c>
      <c r="L57" s="4">
        <v>-1.47166168221328</v>
      </c>
      <c r="M57" s="4" t="s">
        <v>97</v>
      </c>
      <c r="N57" s="4">
        <v>9.2235314484280004E-2</v>
      </c>
      <c r="O57" s="4">
        <v>4.4540743443056501</v>
      </c>
      <c r="P57" s="4">
        <v>-1.76437105389714</v>
      </c>
      <c r="Q57" s="4" t="s">
        <v>95</v>
      </c>
      <c r="R57" s="4">
        <v>-4.6510971840000002</v>
      </c>
      <c r="S57" s="4">
        <v>-0.99524462599999997</v>
      </c>
      <c r="T57" s="4">
        <v>-9.1446586999999996E-2</v>
      </c>
    </row>
    <row r="58" spans="1:20" x14ac:dyDescent="0.2">
      <c r="A58" s="4"/>
      <c r="B58" s="4"/>
      <c r="C58" s="4"/>
      <c r="D58" s="4"/>
      <c r="E58" s="4" t="s">
        <v>96</v>
      </c>
      <c r="F58" s="4">
        <v>-2.0520057760072401</v>
      </c>
      <c r="G58" s="4">
        <v>-2.8331169553842499</v>
      </c>
      <c r="H58" s="4">
        <v>-0.66040669033443999</v>
      </c>
      <c r="I58" s="4" t="s">
        <v>96</v>
      </c>
      <c r="J58" s="4">
        <v>-4.0606609003939003</v>
      </c>
      <c r="K58" s="4">
        <v>-0.28119175246722</v>
      </c>
      <c r="L58" s="4">
        <v>-2.3403387362688299</v>
      </c>
      <c r="M58" s="4" t="s">
        <v>96</v>
      </c>
      <c r="N58" s="4">
        <v>-0.19283078860985001</v>
      </c>
      <c r="O58" s="4">
        <v>4.9966088178689798</v>
      </c>
      <c r="P58" s="4">
        <v>-1.0059371489076101</v>
      </c>
      <c r="Q58" s="4" t="s">
        <v>97</v>
      </c>
      <c r="R58" s="4">
        <v>-3.861656467</v>
      </c>
      <c r="S58" s="4">
        <v>-0.16176364700000001</v>
      </c>
      <c r="T58" s="4">
        <v>-0.52018088900000004</v>
      </c>
    </row>
    <row r="59" spans="1:20" x14ac:dyDescent="0.2">
      <c r="A59" s="4"/>
      <c r="B59" s="4"/>
      <c r="C59" s="4"/>
      <c r="D59" s="4"/>
      <c r="E59" s="4"/>
      <c r="F59" s="4"/>
      <c r="G59" s="4"/>
      <c r="H59" s="4"/>
      <c r="I59" s="4" t="s">
        <v>96</v>
      </c>
      <c r="J59" s="4">
        <v>-4.7019149472648998</v>
      </c>
      <c r="K59" s="4">
        <v>-0.10903802963961</v>
      </c>
      <c r="L59" s="4">
        <v>-0.85805960803833004</v>
      </c>
      <c r="M59" s="4" t="s">
        <v>98</v>
      </c>
      <c r="N59" s="4">
        <v>3.0361856581404498</v>
      </c>
      <c r="O59" s="4">
        <v>3.7010560388453801</v>
      </c>
      <c r="P59" s="4">
        <v>-3.0161649926296499</v>
      </c>
      <c r="Q59" s="4" t="s">
        <v>97</v>
      </c>
      <c r="R59" s="4">
        <v>-5.8593859229999996</v>
      </c>
      <c r="S59" s="4">
        <v>-0.66387955700000001</v>
      </c>
      <c r="T59" s="4">
        <v>0.42989649899999999</v>
      </c>
    </row>
    <row r="60" spans="1:20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 t="s">
        <v>96</v>
      </c>
      <c r="N60" s="4">
        <v>3.59639324518424</v>
      </c>
      <c r="O60" s="4">
        <v>3.0184096154123199</v>
      </c>
      <c r="P60" s="4">
        <v>-3.5179883796903999</v>
      </c>
      <c r="Q60" s="4" t="s">
        <v>96</v>
      </c>
      <c r="R60" s="4">
        <v>-6.0142957040000002</v>
      </c>
      <c r="S60" s="4">
        <v>0.30448728600000002</v>
      </c>
      <c r="T60" s="4">
        <v>0.408118806</v>
      </c>
    </row>
    <row r="61" spans="1:20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 t="s">
        <v>96</v>
      </c>
      <c r="N61" s="4">
        <v>2.7255025816537999</v>
      </c>
      <c r="O61" s="4">
        <v>4.3812930285731904</v>
      </c>
      <c r="P61" s="4">
        <v>-3.7041326153921301</v>
      </c>
      <c r="Q61" s="4" t="s">
        <v>98</v>
      </c>
      <c r="R61" s="4">
        <v>-5.4250820050000002</v>
      </c>
      <c r="S61" s="4">
        <v>-3.161505247</v>
      </c>
      <c r="T61" s="4">
        <v>-0.79336106900000003</v>
      </c>
    </row>
    <row r="62" spans="1:20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 t="s">
        <v>95</v>
      </c>
      <c r="N62" s="4">
        <v>-3.0808195841774499</v>
      </c>
      <c r="O62" s="4">
        <v>-0.73867977618936997</v>
      </c>
      <c r="P62" s="4">
        <v>-3.3581406787505301</v>
      </c>
      <c r="Q62" s="4" t="s">
        <v>96</v>
      </c>
      <c r="R62" s="4">
        <v>-5.2608883830000002</v>
      </c>
      <c r="S62" s="4">
        <v>-4.1674668800000001</v>
      </c>
      <c r="T62" s="4">
        <v>-0.78340632099999996</v>
      </c>
    </row>
    <row r="63" spans="1:20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 t="s">
        <v>96</v>
      </c>
      <c r="N63" s="4">
        <v>-3.0666109433120399</v>
      </c>
      <c r="O63" s="4">
        <v>-0.39412086076216002</v>
      </c>
      <c r="P63" s="4">
        <v>-4.3936542978404196</v>
      </c>
      <c r="Q63" s="4" t="s">
        <v>96</v>
      </c>
      <c r="R63" s="4">
        <v>-6.3142273749999998</v>
      </c>
      <c r="S63" s="4">
        <v>-3.0153130159999999</v>
      </c>
      <c r="T63" s="4">
        <v>-0.31635126699999999</v>
      </c>
    </row>
    <row r="64" spans="1:20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 t="s">
        <v>96</v>
      </c>
      <c r="N64" s="4">
        <v>-3.9557993545099701</v>
      </c>
      <c r="O64" s="4">
        <v>-1.3794448879707299</v>
      </c>
      <c r="P64" s="4">
        <v>-3.2200098813406401</v>
      </c>
      <c r="Q64" s="4" t="s">
        <v>95</v>
      </c>
      <c r="R64" s="4">
        <v>-3.0579662380000001</v>
      </c>
      <c r="S64" s="4">
        <v>2.647873932</v>
      </c>
      <c r="T64" s="4">
        <v>-1.009207604</v>
      </c>
    </row>
    <row r="65" spans="1:20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 t="s">
        <v>96</v>
      </c>
      <c r="N65" s="4">
        <v>-2.9007706417829802</v>
      </c>
      <c r="O65" s="4">
        <v>0.15771981819520001</v>
      </c>
      <c r="P65" s="4">
        <v>-1.4188366038939999</v>
      </c>
      <c r="Q65" s="4" t="s">
        <v>96</v>
      </c>
      <c r="R65" s="4">
        <v>-3.1408405770000001</v>
      </c>
      <c r="S65" s="4">
        <v>3.245033474</v>
      </c>
      <c r="T65" s="4">
        <v>-1.9245947269999999</v>
      </c>
    </row>
    <row r="66" spans="1:20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 t="s">
        <v>95</v>
      </c>
      <c r="N66" s="4">
        <v>-3.2067915314649</v>
      </c>
      <c r="O66" s="4">
        <v>0.45581064336871002</v>
      </c>
      <c r="P66" s="4">
        <v>-2.4305655819184802</v>
      </c>
      <c r="Q66" s="4" t="s">
        <v>96</v>
      </c>
      <c r="R66" s="4">
        <v>-3.7939416110000002</v>
      </c>
      <c r="S66" s="4">
        <v>1.83875681</v>
      </c>
      <c r="T66" s="4">
        <v>-1.070633197</v>
      </c>
    </row>
    <row r="67" spans="1:20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 t="s">
        <v>95</v>
      </c>
      <c r="N67" s="4">
        <v>-2.3028526810377601</v>
      </c>
      <c r="O67" s="4">
        <v>1.5974640568946401</v>
      </c>
      <c r="P67" s="4">
        <v>-2.8566701730320201</v>
      </c>
      <c r="Q67" s="4" t="s">
        <v>96</v>
      </c>
      <c r="R67" s="4">
        <v>-3.2405684620000001</v>
      </c>
      <c r="S67" s="4">
        <v>2.8754390120000002</v>
      </c>
      <c r="T67" s="4">
        <v>1.131978849</v>
      </c>
    </row>
    <row r="68" spans="1:20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 t="s">
        <v>97</v>
      </c>
      <c r="N68" s="4">
        <v>-1.7353834927070899</v>
      </c>
      <c r="O68" s="4">
        <v>1.71646360138454</v>
      </c>
      <c r="P68" s="4">
        <v>-3.9191908157041002</v>
      </c>
      <c r="Q68" s="4" t="s">
        <v>95</v>
      </c>
      <c r="R68" s="4">
        <v>-3.3102816609999999</v>
      </c>
      <c r="S68" s="4">
        <v>3.5021410749999999</v>
      </c>
      <c r="T68" s="4">
        <v>0.23452894299999999</v>
      </c>
    </row>
    <row r="69" spans="1:20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 t="s">
        <v>97</v>
      </c>
      <c r="N69" s="4">
        <v>-2.2524786809159099</v>
      </c>
      <c r="O69" s="4">
        <v>2.5360747330684199</v>
      </c>
      <c r="P69" s="4">
        <v>-1.88708758263861</v>
      </c>
      <c r="Q69" s="4" t="s">
        <v>95</v>
      </c>
      <c r="R69" s="4">
        <v>-2.30267073</v>
      </c>
      <c r="S69" s="4">
        <v>4.6280086819999999</v>
      </c>
      <c r="T69" s="4">
        <v>0.37253040700000001</v>
      </c>
    </row>
    <row r="70" spans="1:20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 t="s">
        <v>96</v>
      </c>
      <c r="N70" s="4">
        <v>-1.5663351452919301</v>
      </c>
      <c r="O70" s="4">
        <v>3.1778361149209999</v>
      </c>
      <c r="P70" s="4">
        <v>-2.1535189620739401</v>
      </c>
      <c r="Q70" s="4" t="s">
        <v>97</v>
      </c>
      <c r="R70" s="4">
        <v>-1.3661924999999999</v>
      </c>
      <c r="S70" s="4">
        <v>4.7929541149999997</v>
      </c>
      <c r="T70" s="4">
        <v>-0.40046494900000001</v>
      </c>
    </row>
    <row r="71" spans="1:20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 t="s">
        <v>98</v>
      </c>
      <c r="N71" s="4">
        <v>-4.5810699650385001</v>
      </c>
      <c r="O71" s="4">
        <v>0.98941301919728997</v>
      </c>
      <c r="P71" s="4">
        <v>-2.4829524003720702</v>
      </c>
      <c r="Q71" s="4" t="s">
        <v>97</v>
      </c>
      <c r="R71" s="4">
        <v>-2.511420717</v>
      </c>
      <c r="S71" s="4">
        <v>5.4200497050000003</v>
      </c>
      <c r="T71" s="4">
        <v>1.454499703</v>
      </c>
    </row>
    <row r="72" spans="1:20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 t="s">
        <v>96</v>
      </c>
      <c r="N72" s="4">
        <v>-5.2045184806913296</v>
      </c>
      <c r="O72" s="4">
        <v>0.28025875744675</v>
      </c>
      <c r="P72" s="4">
        <v>-2.1062074069860799</v>
      </c>
      <c r="Q72" s="4" t="s">
        <v>96</v>
      </c>
      <c r="R72" s="4">
        <v>-1.836126009</v>
      </c>
      <c r="S72" s="4">
        <v>6.1279476749999997</v>
      </c>
      <c r="T72" s="4">
        <v>1.525655669</v>
      </c>
    </row>
    <row r="73" spans="1:20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 t="s">
        <v>96</v>
      </c>
      <c r="N73" s="4">
        <v>-4.64141457598586</v>
      </c>
      <c r="O73" s="4">
        <v>1.7848813300537301</v>
      </c>
      <c r="P73" s="4">
        <v>-1.85178673366584</v>
      </c>
      <c r="Q73" s="4" t="s">
        <v>98</v>
      </c>
      <c r="R73" s="4">
        <v>-4.6415995480000003</v>
      </c>
      <c r="S73" s="4">
        <v>4.107728582</v>
      </c>
      <c r="T73" s="4">
        <v>0.16482358999999999</v>
      </c>
    </row>
    <row r="74" spans="1:20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 t="s">
        <v>96</v>
      </c>
      <c r="R74" s="4">
        <v>-5.3454178829999996</v>
      </c>
      <c r="S74" s="4">
        <v>3.375478373</v>
      </c>
      <c r="T74" s="4">
        <v>7.8412751000000003E-2</v>
      </c>
    </row>
    <row r="75" spans="1:20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 t="s">
        <v>96</v>
      </c>
      <c r="R75" s="4">
        <v>-4.842545168</v>
      </c>
      <c r="S75" s="4">
        <v>4.5913719820000001</v>
      </c>
      <c r="T75" s="4">
        <v>1.039580658</v>
      </c>
    </row>
    <row r="76" spans="1:20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 t="s">
        <v>95</v>
      </c>
      <c r="R76" s="4">
        <v>4.4028978160000003</v>
      </c>
      <c r="S76" s="4">
        <v>2.790840105</v>
      </c>
      <c r="T76" s="4">
        <v>-3.6303616590000001</v>
      </c>
    </row>
    <row r="77" spans="1:20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 t="s">
        <v>96</v>
      </c>
      <c r="R77" s="4">
        <v>5.1265926000000004</v>
      </c>
      <c r="S77" s="4">
        <v>3.379496939</v>
      </c>
      <c r="T77" s="4">
        <v>-3.0549050979999999</v>
      </c>
    </row>
    <row r="78" spans="1:20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 t="s">
        <v>96</v>
      </c>
      <c r="R78" s="4">
        <v>4.9327325499999999</v>
      </c>
      <c r="S78" s="4">
        <v>1.9293816500000001</v>
      </c>
      <c r="T78" s="4">
        <v>-4.0513935520000004</v>
      </c>
    </row>
    <row r="79" spans="1:20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 t="s">
        <v>96</v>
      </c>
      <c r="R79" s="4">
        <v>3.0698386790000001</v>
      </c>
      <c r="S79" s="4">
        <v>3.0059458989999999</v>
      </c>
      <c r="T79" s="4">
        <v>-5.3175165700000004</v>
      </c>
    </row>
    <row r="80" spans="1:20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 t="s">
        <v>95</v>
      </c>
      <c r="R80" s="4">
        <v>3.7732580630000001</v>
      </c>
      <c r="S80" s="4">
        <v>3.6250531430000001</v>
      </c>
      <c r="T80" s="4">
        <v>-4.7474822469999998</v>
      </c>
    </row>
    <row r="81" spans="1:20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 t="s">
        <v>95</v>
      </c>
      <c r="R81" s="4">
        <v>3.0116632860000001</v>
      </c>
      <c r="S81" s="4">
        <v>4.8225731569999999</v>
      </c>
      <c r="T81" s="4">
        <v>-4.2109924779999997</v>
      </c>
    </row>
    <row r="82" spans="1:20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 t="s">
        <v>97</v>
      </c>
      <c r="R82" s="4">
        <v>2.8778642350000001</v>
      </c>
      <c r="S82" s="4">
        <v>5.0558223010000001</v>
      </c>
      <c r="T82" s="4">
        <v>-3.0154118900000002</v>
      </c>
    </row>
    <row r="83" spans="1:20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 t="s">
        <v>97</v>
      </c>
      <c r="R83" s="4">
        <v>2.4588071579999999</v>
      </c>
      <c r="S83" s="4">
        <v>5.5978302419999997</v>
      </c>
      <c r="T83" s="4">
        <v>-5.1778893970000004</v>
      </c>
    </row>
    <row r="84" spans="1:20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 t="s">
        <v>96</v>
      </c>
      <c r="R84" s="4">
        <v>1.9605808330000001</v>
      </c>
      <c r="S84" s="4">
        <v>6.3538605390000003</v>
      </c>
      <c r="T84" s="4">
        <v>-4.8005376100000001</v>
      </c>
    </row>
    <row r="85" spans="1:20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 t="s">
        <v>98</v>
      </c>
      <c r="R85" s="4">
        <v>4.815196984</v>
      </c>
      <c r="S85" s="4">
        <v>4.1303071449999997</v>
      </c>
      <c r="T85" s="4">
        <v>-5.6436318209999996</v>
      </c>
    </row>
    <row r="86" spans="1:20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 t="s">
        <v>96</v>
      </c>
      <c r="R86" s="4">
        <v>5.3432191170000003</v>
      </c>
      <c r="S86" s="4">
        <v>3.347866636</v>
      </c>
      <c r="T86" s="4">
        <v>-6.0283355079999996</v>
      </c>
    </row>
    <row r="87" spans="1:20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 t="s">
        <v>96</v>
      </c>
      <c r="R87" s="4">
        <v>4.3829580049999999</v>
      </c>
      <c r="S87" s="4">
        <v>4.5984282920000004</v>
      </c>
      <c r="T87" s="4">
        <v>-6.439572815</v>
      </c>
    </row>
  </sheetData>
  <mergeCells count="10">
    <mergeCell ref="A1:D1"/>
    <mergeCell ref="E1:H1"/>
    <mergeCell ref="I1:L1"/>
    <mergeCell ref="M1:P1"/>
    <mergeCell ref="Q1:T1"/>
    <mergeCell ref="A30:D30"/>
    <mergeCell ref="E30:H30"/>
    <mergeCell ref="I30:L30"/>
    <mergeCell ref="M30:P30"/>
    <mergeCell ref="Q30:T3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A3571-FCFD-4842-A9B0-1639925646A7}">
  <dimension ref="A1:Y87"/>
  <sheetViews>
    <sheetView zoomScale="75" workbookViewId="0">
      <selection activeCell="W30" sqref="W30"/>
    </sheetView>
  </sheetViews>
  <sheetFormatPr baseColWidth="10" defaultRowHeight="16" x14ac:dyDescent="0.2"/>
  <cols>
    <col min="1" max="16384" width="10.83203125" style="3"/>
  </cols>
  <sheetData>
    <row r="1" spans="1:24" x14ac:dyDescent="0.2">
      <c r="A1" s="9" t="s">
        <v>88</v>
      </c>
      <c r="B1" s="9"/>
      <c r="C1" s="9"/>
      <c r="D1" s="9"/>
      <c r="E1" s="9" t="s">
        <v>89</v>
      </c>
      <c r="F1" s="9"/>
      <c r="G1" s="9"/>
      <c r="H1" s="9"/>
      <c r="I1" s="9" t="s">
        <v>90</v>
      </c>
      <c r="J1" s="9"/>
      <c r="K1" s="9"/>
      <c r="L1" s="9"/>
      <c r="M1" s="11" t="s">
        <v>91</v>
      </c>
      <c r="N1" s="11"/>
      <c r="O1" s="11"/>
      <c r="P1" s="11"/>
      <c r="Q1" s="11" t="s">
        <v>92</v>
      </c>
      <c r="R1" s="11"/>
      <c r="S1" s="11"/>
      <c r="T1" s="11"/>
      <c r="U1" s="2"/>
      <c r="V1" s="2"/>
      <c r="W1" s="2"/>
      <c r="X1" s="2"/>
    </row>
    <row r="2" spans="1:24" x14ac:dyDescent="0.2">
      <c r="A2" s="3" t="s">
        <v>93</v>
      </c>
      <c r="B2" s="4">
        <v>-5.4924701411234196</v>
      </c>
      <c r="C2" s="4">
        <v>6.9290485067561098</v>
      </c>
      <c r="D2" s="4">
        <v>4.6819726017763701</v>
      </c>
      <c r="E2" s="3" t="s">
        <v>93</v>
      </c>
      <c r="F2" s="4">
        <v>-5.3648222235797203</v>
      </c>
      <c r="G2" s="4">
        <v>7.1538367701729797</v>
      </c>
      <c r="H2" s="4">
        <v>4.9887115260443897</v>
      </c>
      <c r="I2" s="3" t="s">
        <v>93</v>
      </c>
      <c r="J2" s="4">
        <v>-6.4600666588965598</v>
      </c>
      <c r="K2" s="4">
        <v>6.4500541078357498</v>
      </c>
      <c r="L2" s="4">
        <v>5.0101663116901403</v>
      </c>
      <c r="M2" s="3" t="s">
        <v>93</v>
      </c>
      <c r="N2" s="4">
        <v>-4.89451055255965</v>
      </c>
      <c r="O2" s="4">
        <v>6.5499530630018796</v>
      </c>
      <c r="P2" s="4">
        <v>3.3467127630863098</v>
      </c>
      <c r="Q2" s="3" t="s">
        <v>93</v>
      </c>
      <c r="R2" s="4">
        <v>-5.8801266054781003</v>
      </c>
      <c r="S2" s="4">
        <v>7.7237566213608</v>
      </c>
      <c r="T2" s="4">
        <v>3.8346927180447699</v>
      </c>
    </row>
    <row r="3" spans="1:24" x14ac:dyDescent="0.2">
      <c r="A3" s="3" t="s">
        <v>94</v>
      </c>
      <c r="B3" s="4">
        <v>-3.69358855126185</v>
      </c>
      <c r="C3" s="4">
        <v>6.8954485787392796</v>
      </c>
      <c r="D3" s="4">
        <v>5.82169772952098</v>
      </c>
      <c r="E3" s="3" t="s">
        <v>94</v>
      </c>
      <c r="F3" s="4">
        <v>-1.2150581531522899</v>
      </c>
      <c r="G3" s="4">
        <v>7.53595210025426</v>
      </c>
      <c r="H3" s="4">
        <v>6.7747580686513498</v>
      </c>
      <c r="I3" s="3" t="s">
        <v>93</v>
      </c>
      <c r="J3" s="4">
        <v>-4.1691825207202404</v>
      </c>
      <c r="K3" s="4">
        <v>6.7539455672947497</v>
      </c>
      <c r="L3" s="4">
        <v>5.0254683968323901</v>
      </c>
      <c r="M3" s="3" t="s">
        <v>94</v>
      </c>
      <c r="N3" s="4">
        <v>-2.20686922369421</v>
      </c>
      <c r="O3" s="4">
        <v>7.3700620259911496</v>
      </c>
      <c r="P3" s="4">
        <v>6.67486375324577</v>
      </c>
      <c r="Q3" s="3" t="s">
        <v>93</v>
      </c>
      <c r="R3" s="4">
        <v>-3.5179590073383502</v>
      </c>
      <c r="S3" s="4">
        <v>8.3333098191548594</v>
      </c>
      <c r="T3" s="4">
        <v>3.4317455253830902</v>
      </c>
    </row>
    <row r="4" spans="1:24" x14ac:dyDescent="0.2">
      <c r="A4" s="3" t="s">
        <v>95</v>
      </c>
      <c r="B4" s="4">
        <v>-4.1284488003158497</v>
      </c>
      <c r="C4" s="4">
        <v>7.77933572537464</v>
      </c>
      <c r="D4" s="4">
        <v>7.3669689523679303</v>
      </c>
      <c r="E4" s="3" t="s">
        <v>95</v>
      </c>
      <c r="F4" s="4">
        <v>-1.7545551106852899</v>
      </c>
      <c r="G4" s="4">
        <v>7.9132855587098501</v>
      </c>
      <c r="H4" s="4">
        <v>8.4876539189699294</v>
      </c>
      <c r="I4" s="3" t="s">
        <v>94</v>
      </c>
      <c r="J4" s="4">
        <v>-8.6053383547559399</v>
      </c>
      <c r="K4" s="4">
        <v>6.12716037161454</v>
      </c>
      <c r="L4" s="4">
        <v>5.2585261593916499</v>
      </c>
      <c r="M4" s="3" t="s">
        <v>95</v>
      </c>
      <c r="N4" s="4">
        <v>-3.4035126821012698</v>
      </c>
      <c r="O4" s="4">
        <v>8.3735949860620096</v>
      </c>
      <c r="P4" s="4">
        <v>7.6371986889977697</v>
      </c>
      <c r="Q4" s="3" t="s">
        <v>94</v>
      </c>
      <c r="R4" s="4">
        <v>-6.9605760207135798</v>
      </c>
      <c r="S4" s="4">
        <v>5.7457969943882103</v>
      </c>
      <c r="T4" s="4">
        <v>3.6775621413825701</v>
      </c>
    </row>
    <row r="5" spans="1:24" x14ac:dyDescent="0.2">
      <c r="A5" s="3" t="s">
        <v>96</v>
      </c>
      <c r="B5" s="4">
        <v>-4.9413171153880002</v>
      </c>
      <c r="C5" s="4">
        <v>7.2781337922838798</v>
      </c>
      <c r="D5" s="4">
        <v>7.8928679610309498</v>
      </c>
      <c r="E5" s="3" t="s">
        <v>96</v>
      </c>
      <c r="F5" s="4">
        <v>-2.3849984482135298</v>
      </c>
      <c r="G5" s="4">
        <v>7.1164408553211898</v>
      </c>
      <c r="H5" s="4">
        <v>8.8860489413692694</v>
      </c>
      <c r="I5" s="3" t="s">
        <v>95</v>
      </c>
      <c r="J5" s="4">
        <v>-9.2993694454395701</v>
      </c>
      <c r="K5" s="4">
        <v>7.8238227637970699</v>
      </c>
      <c r="L5" s="4">
        <v>5.3066115287831401</v>
      </c>
      <c r="M5" s="3" t="s">
        <v>96</v>
      </c>
      <c r="N5" s="4">
        <v>-3.65146324883476</v>
      </c>
      <c r="O5" s="4">
        <v>7.8479237810535301</v>
      </c>
      <c r="P5" s="4">
        <v>8.5588103207687798</v>
      </c>
      <c r="Q5" s="3" t="s">
        <v>95</v>
      </c>
      <c r="R5" s="4">
        <v>-8.7605752325181907</v>
      </c>
      <c r="S5" s="4">
        <v>6.0575472382789304</v>
      </c>
      <c r="T5" s="4">
        <v>3.7971901646708099</v>
      </c>
    </row>
    <row r="6" spans="1:24" x14ac:dyDescent="0.2">
      <c r="A6" s="3" t="s">
        <v>96</v>
      </c>
      <c r="B6" s="4">
        <v>-4.4293434350129104</v>
      </c>
      <c r="C6" s="4">
        <v>8.8067106727681406</v>
      </c>
      <c r="D6" s="4">
        <v>7.1602461173118099</v>
      </c>
      <c r="E6" s="3" t="s">
        <v>96</v>
      </c>
      <c r="F6" s="4">
        <v>-2.3203873301464202</v>
      </c>
      <c r="G6" s="4">
        <v>8.8460611231322499</v>
      </c>
      <c r="H6" s="4">
        <v>8.5244706198779898</v>
      </c>
      <c r="I6" s="3" t="s">
        <v>96</v>
      </c>
      <c r="J6" s="4">
        <v>-10.174048732289</v>
      </c>
      <c r="K6" s="4">
        <v>7.8375663091157204</v>
      </c>
      <c r="L6" s="4">
        <v>5.9568512424166702</v>
      </c>
      <c r="M6" s="3" t="s">
        <v>96</v>
      </c>
      <c r="N6" s="4">
        <v>-4.3202880572788898</v>
      </c>
      <c r="O6" s="4">
        <v>8.5355233790295308</v>
      </c>
      <c r="P6" s="4">
        <v>7.0592137359697702</v>
      </c>
      <c r="Q6" s="3" t="s">
        <v>96</v>
      </c>
      <c r="R6" s="4">
        <v>-8.9567376614748397</v>
      </c>
      <c r="S6" s="4">
        <v>6.9263357419277902</v>
      </c>
      <c r="T6" s="4">
        <v>4.4261687702897499</v>
      </c>
    </row>
    <row r="7" spans="1:24" x14ac:dyDescent="0.2">
      <c r="A7" s="3" t="s">
        <v>96</v>
      </c>
      <c r="B7" s="4">
        <v>-3.2549470236782301</v>
      </c>
      <c r="C7" s="4">
        <v>7.7993025629545096</v>
      </c>
      <c r="D7" s="4">
        <v>8.0179994172794906</v>
      </c>
      <c r="E7" s="3" t="s">
        <v>96</v>
      </c>
      <c r="F7" s="4">
        <v>-0.88397284710496005</v>
      </c>
      <c r="G7" s="4">
        <v>8.0162169957933802</v>
      </c>
      <c r="H7" s="4">
        <v>9.1363295755869594</v>
      </c>
      <c r="I7" s="3" t="s">
        <v>96</v>
      </c>
      <c r="J7" s="4">
        <v>-9.5945448563280706</v>
      </c>
      <c r="K7" s="4">
        <v>8.1100614476259594</v>
      </c>
      <c r="L7" s="4">
        <v>4.29815162023315</v>
      </c>
      <c r="M7" s="3" t="s">
        <v>96</v>
      </c>
      <c r="N7" s="4">
        <v>-2.9607397262280699</v>
      </c>
      <c r="O7" s="4">
        <v>9.3409909013034298</v>
      </c>
      <c r="P7" s="4">
        <v>7.8808921536611001</v>
      </c>
      <c r="Q7" s="3" t="s">
        <v>96</v>
      </c>
      <c r="R7" s="4">
        <v>-9.2555313254637195</v>
      </c>
      <c r="S7" s="4">
        <v>5.1840436196972801</v>
      </c>
      <c r="T7" s="4">
        <v>4.22198296397747</v>
      </c>
    </row>
    <row r="8" spans="1:24" x14ac:dyDescent="0.2">
      <c r="A8" s="3" t="s">
        <v>94</v>
      </c>
      <c r="B8" s="4">
        <v>-7.2784085862146704</v>
      </c>
      <c r="C8" s="4">
        <v>6.9626737491834296</v>
      </c>
      <c r="D8" s="4">
        <v>3.5226358367133002</v>
      </c>
      <c r="E8" s="3" t="s">
        <v>94</v>
      </c>
      <c r="F8" s="4">
        <v>-7.3288800300846804</v>
      </c>
      <c r="G8" s="4">
        <v>7.1792605362364297</v>
      </c>
      <c r="H8" s="4">
        <v>4.0307230830526901</v>
      </c>
      <c r="I8" s="3" t="s">
        <v>96</v>
      </c>
      <c r="J8" s="4">
        <v>-8.5606352448189096</v>
      </c>
      <c r="K8" s="4">
        <v>8.5340672277052203</v>
      </c>
      <c r="L8" s="4">
        <v>5.6820263822681101</v>
      </c>
      <c r="M8" s="3" t="s">
        <v>94</v>
      </c>
      <c r="N8" s="4">
        <v>-5.6987760873677997</v>
      </c>
      <c r="O8" s="4">
        <v>7.8395861502196</v>
      </c>
      <c r="P8" s="4">
        <v>1.7398322415710299</v>
      </c>
      <c r="Q8" s="3" t="s">
        <v>96</v>
      </c>
      <c r="R8" s="4">
        <v>-9.1528078586751107</v>
      </c>
      <c r="S8" s="4">
        <v>6.2437069579653199</v>
      </c>
      <c r="T8" s="4">
        <v>2.7979238140235698</v>
      </c>
    </row>
    <row r="9" spans="1:24" x14ac:dyDescent="0.2">
      <c r="A9" s="3" t="s">
        <v>95</v>
      </c>
      <c r="B9" s="4">
        <v>-7.30538052821219</v>
      </c>
      <c r="C9" s="4">
        <v>8.6522636683826395</v>
      </c>
      <c r="D9" s="4">
        <v>2.8120623725364</v>
      </c>
      <c r="E9" s="3" t="s">
        <v>95</v>
      </c>
      <c r="F9" s="4">
        <v>-7.0359312318009302</v>
      </c>
      <c r="G9" s="4">
        <v>8.6355435754609307</v>
      </c>
      <c r="H9" s="4">
        <v>2.9524746918460099</v>
      </c>
      <c r="I9" s="3" t="s">
        <v>93</v>
      </c>
      <c r="J9" s="4">
        <v>-7.7084029106619196</v>
      </c>
      <c r="K9" s="4">
        <v>5.9126555398453204</v>
      </c>
      <c r="L9" s="4">
        <v>7.2119950929538703</v>
      </c>
      <c r="M9" s="3" t="s">
        <v>95</v>
      </c>
      <c r="N9" s="4">
        <v>-6.9473632449300204</v>
      </c>
      <c r="O9" s="4">
        <v>8.7253873206815609</v>
      </c>
      <c r="P9" s="4">
        <v>2.7493008920491802</v>
      </c>
      <c r="Q9" s="3" t="s">
        <v>93</v>
      </c>
      <c r="R9" s="4">
        <v>-6.1170030052929301</v>
      </c>
      <c r="S9" s="4">
        <v>5.8234562990020704</v>
      </c>
      <c r="T9" s="4">
        <v>5.6489698180115901</v>
      </c>
    </row>
    <row r="10" spans="1:24" x14ac:dyDescent="0.2">
      <c r="A10" s="3" t="s">
        <v>96</v>
      </c>
      <c r="B10" s="4">
        <v>-8.2104970046892891</v>
      </c>
      <c r="C10" s="4">
        <v>8.7695611528681994</v>
      </c>
      <c r="D10" s="4">
        <v>2.2167968548677202</v>
      </c>
      <c r="E10" s="3" t="s">
        <v>96</v>
      </c>
      <c r="F10" s="4">
        <v>-7.9165720387337801</v>
      </c>
      <c r="G10" s="4">
        <v>8.8263095391122697</v>
      </c>
      <c r="H10" s="4">
        <v>2.3379896080318598</v>
      </c>
      <c r="I10" s="3" t="s">
        <v>94</v>
      </c>
      <c r="J10" s="4">
        <v>-6.79190665039504</v>
      </c>
      <c r="K10" s="4">
        <v>5.7215794197469902</v>
      </c>
      <c r="L10" s="4">
        <v>9.1273799696072508</v>
      </c>
      <c r="M10" s="3" t="s">
        <v>96</v>
      </c>
      <c r="N10" s="4">
        <v>-7.0138041992610596</v>
      </c>
      <c r="O10" s="4">
        <v>9.7652915274207004</v>
      </c>
      <c r="P10" s="4">
        <v>2.42485674040794</v>
      </c>
      <c r="Q10" s="3" t="s">
        <v>94</v>
      </c>
      <c r="R10" s="4">
        <v>-4.7475301748882304</v>
      </c>
      <c r="S10" s="4">
        <v>6.2058219726676302</v>
      </c>
      <c r="T10" s="4">
        <v>7.30043672598398</v>
      </c>
    </row>
    <row r="11" spans="1:24" x14ac:dyDescent="0.2">
      <c r="A11" s="3" t="s">
        <v>96</v>
      </c>
      <c r="B11" s="4">
        <v>-6.4424923846132502</v>
      </c>
      <c r="C11" s="4">
        <v>8.8222181921372194</v>
      </c>
      <c r="D11" s="4">
        <v>2.1676871295917599</v>
      </c>
      <c r="E11" s="3" t="s">
        <v>96</v>
      </c>
      <c r="F11" s="4">
        <v>-6.1851879259280302</v>
      </c>
      <c r="G11" s="4">
        <v>8.4679636877092008</v>
      </c>
      <c r="H11" s="4">
        <v>2.2890184489456198</v>
      </c>
      <c r="I11" s="3" t="s">
        <v>96</v>
      </c>
      <c r="J11" s="4">
        <v>-5.4886771250734903</v>
      </c>
      <c r="K11" s="4">
        <v>7.7858734457463603</v>
      </c>
      <c r="L11" s="4">
        <v>8.9447798040101993</v>
      </c>
      <c r="M11" s="3" t="s">
        <v>96</v>
      </c>
      <c r="N11" s="4">
        <v>-6.6723818493107299</v>
      </c>
      <c r="O11" s="4">
        <v>8.6979693317080198</v>
      </c>
      <c r="P11" s="4">
        <v>3.8101189338253998</v>
      </c>
      <c r="Q11" s="3" t="s">
        <v>96</v>
      </c>
      <c r="R11" s="4">
        <v>-6.4100824451880198</v>
      </c>
      <c r="S11" s="4">
        <v>7.1871389087191497</v>
      </c>
      <c r="T11" s="4">
        <v>8.7725380474837493</v>
      </c>
    </row>
    <row r="12" spans="1:24" x14ac:dyDescent="0.2">
      <c r="A12" s="3" t="s">
        <v>96</v>
      </c>
      <c r="B12" s="4">
        <v>-7.3071359794903001</v>
      </c>
      <c r="C12" s="4">
        <v>9.4092845035519108</v>
      </c>
      <c r="D12" s="4">
        <v>3.59673324700326</v>
      </c>
      <c r="E12" s="3" t="s">
        <v>96</v>
      </c>
      <c r="F12" s="4">
        <v>-6.8325889908163102</v>
      </c>
      <c r="G12" s="4">
        <v>9.5290466221632908</v>
      </c>
      <c r="H12" s="4">
        <v>3.5463013142541802</v>
      </c>
      <c r="I12" s="3" t="s">
        <v>96</v>
      </c>
      <c r="J12" s="4">
        <v>-4.8605603074915003</v>
      </c>
      <c r="K12" s="4">
        <v>6.5297289559161902</v>
      </c>
      <c r="L12" s="4">
        <v>7.8635968194944699</v>
      </c>
      <c r="M12" s="3" t="s">
        <v>96</v>
      </c>
      <c r="N12" s="4">
        <v>-7.9163067147058603</v>
      </c>
      <c r="O12" s="4">
        <v>8.2438846888782393</v>
      </c>
      <c r="P12" s="4">
        <v>2.6207759521035698</v>
      </c>
      <c r="Q12" s="3" t="s">
        <v>96</v>
      </c>
      <c r="R12" s="4">
        <v>-5.9611933008585698</v>
      </c>
      <c r="S12" s="4">
        <v>8.3202430041637196</v>
      </c>
      <c r="T12" s="4">
        <v>7.4770221684649503</v>
      </c>
    </row>
    <row r="13" spans="1:24" x14ac:dyDescent="0.2">
      <c r="E13" s="3" t="s">
        <v>93</v>
      </c>
      <c r="F13" s="4">
        <v>-3.17678566975402</v>
      </c>
      <c r="G13" s="4">
        <v>7.3472136359338904</v>
      </c>
      <c r="H13" s="4">
        <v>5.8368572033696902</v>
      </c>
      <c r="I13" s="3" t="s">
        <v>95</v>
      </c>
      <c r="J13" s="4">
        <v>-5.2734015371588097</v>
      </c>
      <c r="K13" s="4">
        <v>6.7168206915658404</v>
      </c>
      <c r="L13" s="4">
        <v>8.8626987920217601</v>
      </c>
      <c r="M13" s="3" t="s">
        <v>93</v>
      </c>
      <c r="N13" s="4">
        <v>-3.59712064025639</v>
      </c>
      <c r="O13" s="4">
        <v>6.3992815790099504</v>
      </c>
      <c r="P13" s="4">
        <v>5.2588675678111096</v>
      </c>
      <c r="Q13" s="3" t="s">
        <v>95</v>
      </c>
      <c r="R13" s="4">
        <v>-5.5812073544036904</v>
      </c>
      <c r="S13" s="4">
        <v>7.5809196023691499</v>
      </c>
      <c r="T13" s="4">
        <v>8.1857379743954404</v>
      </c>
    </row>
    <row r="14" spans="1:24" x14ac:dyDescent="0.2">
      <c r="I14" s="3" t="s">
        <v>96</v>
      </c>
      <c r="J14" s="4">
        <v>-4.52881965597083</v>
      </c>
      <c r="K14" s="4">
        <v>6.4508691521901902</v>
      </c>
      <c r="L14" s="4">
        <v>9.6151998802970908</v>
      </c>
      <c r="M14" s="3" t="s">
        <v>93</v>
      </c>
      <c r="N14" s="4">
        <v>-3.8171240215558799</v>
      </c>
      <c r="O14" s="4">
        <v>8.6761254506248608</v>
      </c>
      <c r="P14" s="4">
        <v>2.5422244407125798</v>
      </c>
      <c r="Q14" s="3" t="s">
        <v>96</v>
      </c>
      <c r="R14" s="4">
        <v>-4.8636036122358197</v>
      </c>
      <c r="S14" s="4">
        <v>8.0582363726193798</v>
      </c>
      <c r="T14" s="4">
        <v>8.8503482580124206</v>
      </c>
    </row>
    <row r="15" spans="1:24" x14ac:dyDescent="0.2">
      <c r="M15" s="3" t="s">
        <v>93</v>
      </c>
      <c r="N15" s="4">
        <v>-2.2326996666280401</v>
      </c>
      <c r="O15" s="4">
        <v>8.4506920060255393</v>
      </c>
      <c r="P15" s="4">
        <v>4.7450407224874498</v>
      </c>
      <c r="Q15" s="3" t="s">
        <v>93</v>
      </c>
      <c r="R15" s="4">
        <v>-4.0735016877513104</v>
      </c>
      <c r="S15" s="4">
        <v>7.2452455964717597</v>
      </c>
      <c r="T15" s="4">
        <v>5.44933185276148</v>
      </c>
    </row>
    <row r="16" spans="1:24" x14ac:dyDescent="0.2">
      <c r="M16" s="3" t="s">
        <v>94</v>
      </c>
      <c r="N16" s="4">
        <v>-1.88547977379826</v>
      </c>
      <c r="O16" s="4">
        <v>9.5943760214447096</v>
      </c>
      <c r="P16" s="4">
        <v>2.9297838701001102</v>
      </c>
      <c r="Q16" s="3" t="s">
        <v>93</v>
      </c>
      <c r="R16" s="4">
        <v>-5.2105308500180998</v>
      </c>
      <c r="S16" s="4">
        <v>9.6582567140523103</v>
      </c>
      <c r="T16" s="4">
        <v>2.1670819855471</v>
      </c>
    </row>
    <row r="17" spans="1:25" x14ac:dyDescent="0.2">
      <c r="M17" s="3" t="s">
        <v>95</v>
      </c>
      <c r="N17" s="4">
        <v>-0.79329249684820002</v>
      </c>
      <c r="O17" s="4">
        <v>8.4294851133924595</v>
      </c>
      <c r="P17" s="4">
        <v>2.02553318148999</v>
      </c>
      <c r="Q17" s="3" t="s">
        <v>94</v>
      </c>
      <c r="R17" s="4">
        <v>-6.9797039295706496</v>
      </c>
      <c r="S17" s="4">
        <v>9.6430061758974102</v>
      </c>
      <c r="T17" s="4">
        <v>3.3785321677506799</v>
      </c>
    </row>
    <row r="18" spans="1:25" x14ac:dyDescent="0.2">
      <c r="M18" s="3" t="s">
        <v>96</v>
      </c>
      <c r="N18" s="4">
        <v>-0.82117885714822003</v>
      </c>
      <c r="O18" s="4">
        <v>8.6704291402309792</v>
      </c>
      <c r="P18" s="4">
        <v>0.96232443571665005</v>
      </c>
      <c r="Q18" s="3" t="s">
        <v>95</v>
      </c>
      <c r="R18" s="4">
        <v>-8.4249378847340495</v>
      </c>
      <c r="S18" s="4">
        <v>9.2571759252751402</v>
      </c>
      <c r="T18" s="4">
        <v>2.3238393232033401</v>
      </c>
    </row>
    <row r="19" spans="1:25" x14ac:dyDescent="0.2">
      <c r="M19" s="3" t="s">
        <v>96</v>
      </c>
      <c r="N19" s="4">
        <v>0.22552540645210001</v>
      </c>
      <c r="O19" s="4">
        <v>8.53803270896098</v>
      </c>
      <c r="P19" s="4">
        <v>2.3989778215706301</v>
      </c>
      <c r="Q19" s="3" t="s">
        <v>96</v>
      </c>
      <c r="R19" s="4">
        <v>-9.2786365676547309</v>
      </c>
      <c r="S19" s="4">
        <v>9.0367393773191491</v>
      </c>
      <c r="T19" s="4">
        <v>2.9639959712023201</v>
      </c>
    </row>
    <row r="20" spans="1:25" x14ac:dyDescent="0.2">
      <c r="M20" s="3" t="s">
        <v>96</v>
      </c>
      <c r="N20" s="4">
        <v>-1.1251703639446899</v>
      </c>
      <c r="O20" s="4">
        <v>7.3973158249606499</v>
      </c>
      <c r="P20" s="4">
        <v>2.1724597844247602</v>
      </c>
      <c r="Q20" s="3" t="s">
        <v>96</v>
      </c>
      <c r="R20" s="4">
        <v>-8.6583787192390798</v>
      </c>
      <c r="S20" s="4">
        <v>10.1164891681019</v>
      </c>
      <c r="T20" s="4">
        <v>1.69486759969857</v>
      </c>
    </row>
    <row r="21" spans="1:25" x14ac:dyDescent="0.2">
      <c r="Q21" s="3" t="s">
        <v>96</v>
      </c>
      <c r="R21" s="4">
        <v>-8.2179233525741502</v>
      </c>
      <c r="S21" s="4">
        <v>8.3922788606760399</v>
      </c>
      <c r="T21" s="4">
        <v>1.6930263805152701</v>
      </c>
    </row>
    <row r="22" spans="1:25" x14ac:dyDescent="0.2">
      <c r="Q22" s="3" t="s">
        <v>94</v>
      </c>
      <c r="R22" s="4">
        <v>-3.1505697096841998</v>
      </c>
      <c r="S22" s="4">
        <v>9.3909668165690903</v>
      </c>
      <c r="T22" s="4">
        <v>1.5066910067669701</v>
      </c>
    </row>
    <row r="23" spans="1:25" x14ac:dyDescent="0.2">
      <c r="Q23" s="3" t="s">
        <v>95</v>
      </c>
      <c r="R23" s="4">
        <v>-3.2968823619296002</v>
      </c>
      <c r="S23" s="4">
        <v>8.0016678559440102</v>
      </c>
      <c r="T23" s="4">
        <v>0.31694926645347998</v>
      </c>
    </row>
    <row r="24" spans="1:25" x14ac:dyDescent="0.2">
      <c r="Q24" s="3" t="s">
        <v>96</v>
      </c>
      <c r="R24" s="4">
        <v>-2.3077711743413998</v>
      </c>
      <c r="S24" s="4">
        <v>7.5831631171224796</v>
      </c>
      <c r="T24" s="4">
        <v>0.14161970511432001</v>
      </c>
    </row>
    <row r="25" spans="1:25" x14ac:dyDescent="0.2">
      <c r="Q25" s="3" t="s">
        <v>96</v>
      </c>
      <c r="R25" s="4">
        <v>-3.95156126610929</v>
      </c>
      <c r="S25" s="4">
        <v>7.2228063622364802</v>
      </c>
      <c r="T25" s="4">
        <v>0.71419410319584997</v>
      </c>
    </row>
    <row r="26" spans="1:25" x14ac:dyDescent="0.2">
      <c r="Q26" s="3" t="s">
        <v>96</v>
      </c>
      <c r="R26" s="4">
        <v>-3.7055138918640398</v>
      </c>
      <c r="S26" s="4">
        <v>8.3689318780195396</v>
      </c>
      <c r="T26" s="4">
        <v>-0.62358145233369999</v>
      </c>
    </row>
    <row r="30" spans="1:25" x14ac:dyDescent="0.2">
      <c r="A30" s="9" t="s">
        <v>99</v>
      </c>
      <c r="B30" s="9"/>
      <c r="C30" s="9"/>
      <c r="D30" s="9"/>
      <c r="E30" s="9" t="s">
        <v>100</v>
      </c>
      <c r="F30" s="9"/>
      <c r="G30" s="9"/>
      <c r="H30" s="9"/>
      <c r="I30" s="9" t="s">
        <v>101</v>
      </c>
      <c r="J30" s="9"/>
      <c r="K30" s="9"/>
      <c r="L30" s="9"/>
      <c r="M30" s="11" t="s">
        <v>102</v>
      </c>
      <c r="N30" s="11"/>
      <c r="O30" s="11"/>
      <c r="P30" s="11"/>
      <c r="Q30" s="11" t="s">
        <v>102</v>
      </c>
      <c r="R30" s="11"/>
      <c r="S30" s="11"/>
      <c r="T30" s="11"/>
      <c r="U30" s="12"/>
      <c r="V30" s="12"/>
      <c r="W30" s="12"/>
      <c r="X30" s="12"/>
      <c r="Y30" s="12"/>
    </row>
    <row r="31" spans="1:25" x14ac:dyDescent="0.2">
      <c r="A31" s="4" t="s">
        <v>94</v>
      </c>
      <c r="B31" s="4">
        <v>2.0550905259894101</v>
      </c>
      <c r="C31" s="4">
        <v>2.6760227822774301</v>
      </c>
      <c r="D31" s="4">
        <v>-1.2675403102896501</v>
      </c>
      <c r="E31" s="4" t="s">
        <v>93</v>
      </c>
      <c r="F31" s="4">
        <v>-1.01254449174192</v>
      </c>
      <c r="G31" s="4">
        <v>2.3982175703180002</v>
      </c>
      <c r="H31" s="4">
        <v>-0.54359073099272004</v>
      </c>
      <c r="I31" s="4" t="s">
        <v>93</v>
      </c>
      <c r="J31" s="4">
        <v>0.24178144144267999</v>
      </c>
      <c r="K31" s="4">
        <v>0.15309310786585001</v>
      </c>
      <c r="L31" s="4">
        <v>-1.23535361664541</v>
      </c>
      <c r="M31" s="4" t="s">
        <v>93</v>
      </c>
      <c r="N31" s="4">
        <v>-1.0632303121226201</v>
      </c>
      <c r="O31" s="4">
        <v>-1.45225270387073</v>
      </c>
      <c r="P31" s="4">
        <v>-0.99709730620327996</v>
      </c>
      <c r="Q31" s="4" t="s">
        <v>93</v>
      </c>
      <c r="R31" s="4">
        <v>8.2016020999999995E-2</v>
      </c>
      <c r="S31" s="4">
        <v>2.6703600000000001E-3</v>
      </c>
      <c r="T31" s="4">
        <v>5.9043811000000002E-2</v>
      </c>
    </row>
    <row r="32" spans="1:25" x14ac:dyDescent="0.2">
      <c r="A32" s="4" t="s">
        <v>97</v>
      </c>
      <c r="B32" s="4">
        <v>1.2610862507274201</v>
      </c>
      <c r="C32" s="4">
        <v>3.0014238600449299</v>
      </c>
      <c r="D32" s="4">
        <v>2.35586947716796</v>
      </c>
      <c r="E32" s="4" t="s">
        <v>93</v>
      </c>
      <c r="F32" s="4">
        <v>0.94928386887909</v>
      </c>
      <c r="G32" s="4">
        <v>2.5820898974721</v>
      </c>
      <c r="H32" s="4">
        <v>0.73653730018785002</v>
      </c>
      <c r="I32" s="4" t="s">
        <v>93</v>
      </c>
      <c r="J32" s="4">
        <v>1.3095077390696399</v>
      </c>
      <c r="K32" s="4">
        <v>2.1969797030998302</v>
      </c>
      <c r="L32" s="4">
        <v>-1.1371464973933001</v>
      </c>
      <c r="M32" s="4" t="s">
        <v>94</v>
      </c>
      <c r="N32" s="4">
        <v>0.24858988826701001</v>
      </c>
      <c r="O32" s="4">
        <v>-0.15373601866702999</v>
      </c>
      <c r="P32" s="4">
        <v>2.95974750147824</v>
      </c>
      <c r="Q32" s="4" t="s">
        <v>93</v>
      </c>
      <c r="R32" s="4">
        <v>2.762769021</v>
      </c>
      <c r="S32" s="4">
        <v>0.79950536000000005</v>
      </c>
      <c r="T32" s="4">
        <v>-0.334164189</v>
      </c>
    </row>
    <row r="33" spans="1:20" x14ac:dyDescent="0.2">
      <c r="A33" s="4" t="s">
        <v>97</v>
      </c>
      <c r="B33" s="4">
        <v>-0.2212085302854</v>
      </c>
      <c r="C33" s="4">
        <v>1.68410886230331</v>
      </c>
      <c r="D33" s="4">
        <v>1.29549550235408</v>
      </c>
      <c r="E33" s="4" t="s">
        <v>94</v>
      </c>
      <c r="F33" s="4">
        <v>2.70628355923155</v>
      </c>
      <c r="G33" s="4">
        <v>2.5939492657671699</v>
      </c>
      <c r="H33" s="4">
        <v>2.0430065405410498</v>
      </c>
      <c r="I33" s="4" t="s">
        <v>94</v>
      </c>
      <c r="J33" s="4">
        <v>-0.94593974249593005</v>
      </c>
      <c r="K33" s="4">
        <v>-1.6369880954560401</v>
      </c>
      <c r="L33" s="4">
        <v>-1.5864699803287501</v>
      </c>
      <c r="M33" s="4" t="s">
        <v>94</v>
      </c>
      <c r="N33" s="4">
        <v>-0.80996535830841998</v>
      </c>
      <c r="O33" s="4">
        <v>-0.50418185739043997</v>
      </c>
      <c r="P33" s="4">
        <v>-2.9745637891082999</v>
      </c>
      <c r="Q33" s="4" t="s">
        <v>94</v>
      </c>
      <c r="R33" s="4">
        <v>-1.632236979</v>
      </c>
      <c r="S33" s="4">
        <v>-1.97825764</v>
      </c>
      <c r="T33" s="4">
        <v>0.182540811</v>
      </c>
    </row>
    <row r="34" spans="1:20" x14ac:dyDescent="0.2">
      <c r="A34" s="4" t="s">
        <v>98</v>
      </c>
      <c r="B34" s="4">
        <v>2.0643954418574801</v>
      </c>
      <c r="C34" s="4">
        <v>-0.15917849831695999</v>
      </c>
      <c r="D34" s="4">
        <v>1.69854466505112</v>
      </c>
      <c r="E34" s="4" t="s">
        <v>97</v>
      </c>
      <c r="F34" s="4">
        <v>3.0008781221696799</v>
      </c>
      <c r="G34" s="4">
        <v>-0.50135602203828999</v>
      </c>
      <c r="H34" s="4">
        <v>1.9899815955900001E-3</v>
      </c>
      <c r="I34" s="4" t="s">
        <v>93</v>
      </c>
      <c r="J34" s="4">
        <v>-2.1884905954439999E-2</v>
      </c>
      <c r="K34" s="4">
        <v>-2.11233130638422</v>
      </c>
      <c r="L34" s="4">
        <v>0.31063687737180001</v>
      </c>
      <c r="M34" s="4" t="s">
        <v>93</v>
      </c>
      <c r="N34" s="4">
        <v>-0.79590091752308001</v>
      </c>
      <c r="O34" s="4">
        <v>-1.2281443885143799</v>
      </c>
      <c r="P34" s="4">
        <v>1.29524867443223</v>
      </c>
      <c r="Q34" s="4" t="s">
        <v>93</v>
      </c>
      <c r="R34" s="4">
        <v>-0.33206897899999999</v>
      </c>
      <c r="S34" s="4">
        <v>-2.1028126399999998</v>
      </c>
      <c r="T34" s="4">
        <v>2.199290811</v>
      </c>
    </row>
    <row r="35" spans="1:20" x14ac:dyDescent="0.2">
      <c r="A35" s="4" t="s">
        <v>95</v>
      </c>
      <c r="B35" s="4">
        <v>2.1379239734322599</v>
      </c>
      <c r="C35" s="4">
        <v>1.18095304879629</v>
      </c>
      <c r="D35" s="4">
        <v>1.1052611357787501</v>
      </c>
      <c r="E35" s="4" t="s">
        <v>97</v>
      </c>
      <c r="F35" s="4">
        <v>4.36458988527722</v>
      </c>
      <c r="G35" s="4">
        <v>-0.57118358675388003</v>
      </c>
      <c r="H35" s="4">
        <v>1.7893346000841801</v>
      </c>
      <c r="I35" s="4" t="s">
        <v>94</v>
      </c>
      <c r="J35" s="4">
        <v>0.76694957599433999</v>
      </c>
      <c r="K35" s="4">
        <v>-2.9213633575231901</v>
      </c>
      <c r="L35" s="4">
        <v>2.1245899784455502</v>
      </c>
      <c r="M35" s="4" t="s">
        <v>93</v>
      </c>
      <c r="N35" s="4">
        <v>-0.56910288257168995</v>
      </c>
      <c r="O35" s="4">
        <v>0.96174096323104996</v>
      </c>
      <c r="P35" s="4">
        <v>-1.3105317177826501</v>
      </c>
      <c r="Q35" s="4" t="s">
        <v>94</v>
      </c>
      <c r="R35" s="4">
        <v>1.4384020209999999</v>
      </c>
      <c r="S35" s="4">
        <v>-2.0286356400000001</v>
      </c>
      <c r="T35" s="4">
        <v>3.867438811</v>
      </c>
    </row>
    <row r="36" spans="1:20" x14ac:dyDescent="0.2">
      <c r="A36" s="4" t="s">
        <v>95</v>
      </c>
      <c r="B36" s="4">
        <v>2.11479563051136</v>
      </c>
      <c r="C36" s="4">
        <v>1.06126644376937</v>
      </c>
      <c r="D36" s="4">
        <v>-0.41215129975586001</v>
      </c>
      <c r="E36" s="4" t="s">
        <v>98</v>
      </c>
      <c r="F36" s="4">
        <v>1.72100360493407</v>
      </c>
      <c r="G36" s="4">
        <v>-1.2808904173719</v>
      </c>
      <c r="H36" s="4">
        <v>2.9614575761748099</v>
      </c>
      <c r="I36" s="4" t="s">
        <v>95</v>
      </c>
      <c r="J36" s="4">
        <v>0.17964004008941001</v>
      </c>
      <c r="K36" s="4">
        <v>-1.8549555964755899</v>
      </c>
      <c r="L36" s="4">
        <v>3.4852720252449698</v>
      </c>
      <c r="M36" s="4" t="s">
        <v>93</v>
      </c>
      <c r="N36" s="4">
        <v>-0.22014346087704001</v>
      </c>
      <c r="O36" s="4">
        <v>1.19218141277322</v>
      </c>
      <c r="P36" s="4">
        <v>1.2683086829069199</v>
      </c>
      <c r="Q36" s="4" t="s">
        <v>93</v>
      </c>
      <c r="R36" s="4">
        <v>2.1753800210000001</v>
      </c>
      <c r="S36" s="4">
        <v>-0.65806164</v>
      </c>
      <c r="T36" s="4">
        <v>1.835964811</v>
      </c>
    </row>
    <row r="37" spans="1:20" x14ac:dyDescent="0.2">
      <c r="A37" s="4" t="s">
        <v>95</v>
      </c>
      <c r="B37" s="4">
        <v>0.92662809271647995</v>
      </c>
      <c r="C37" s="4">
        <v>1.9644279203945001</v>
      </c>
      <c r="D37" s="4">
        <v>1.5670927086119899</v>
      </c>
      <c r="E37" s="4" t="s">
        <v>95</v>
      </c>
      <c r="F37" s="4">
        <v>2.01089217372729</v>
      </c>
      <c r="G37" s="4">
        <v>-0.10946420249072</v>
      </c>
      <c r="H37" s="4">
        <v>2.1252723856664102</v>
      </c>
      <c r="I37" s="4" t="s">
        <v>96</v>
      </c>
      <c r="J37" s="4">
        <v>-0.89005612475830997</v>
      </c>
      <c r="K37" s="4">
        <v>-1.64306722359788</v>
      </c>
      <c r="L37" s="4">
        <v>3.3824509715586499</v>
      </c>
      <c r="M37" s="4" t="s">
        <v>94</v>
      </c>
      <c r="N37" s="4">
        <v>-0.52404491192906</v>
      </c>
      <c r="O37" s="4">
        <v>2.8188732824602201</v>
      </c>
      <c r="P37" s="4">
        <v>-0.14114877702895001</v>
      </c>
      <c r="Q37" s="4" t="s">
        <v>93</v>
      </c>
      <c r="R37" s="4">
        <v>0.76568002099999999</v>
      </c>
      <c r="S37" s="4">
        <v>2.11576736</v>
      </c>
      <c r="T37" s="4">
        <v>-2.0031781890000002</v>
      </c>
    </row>
    <row r="38" spans="1:20" x14ac:dyDescent="0.2">
      <c r="A38" s="4" t="s">
        <v>96</v>
      </c>
      <c r="B38" s="4">
        <v>3.0390115483571898</v>
      </c>
      <c r="C38" s="4">
        <v>1.7380228838208001</v>
      </c>
      <c r="D38" s="4">
        <v>1.4022986726978599</v>
      </c>
      <c r="E38" s="4" t="s">
        <v>95</v>
      </c>
      <c r="F38" s="4">
        <v>2.2500886866098702</v>
      </c>
      <c r="G38" s="4">
        <v>1.10663454740074</v>
      </c>
      <c r="H38" s="4">
        <v>3.0086518335041901</v>
      </c>
      <c r="I38" s="4" t="s">
        <v>96</v>
      </c>
      <c r="J38" s="4">
        <v>0.32619897599237002</v>
      </c>
      <c r="K38" s="4">
        <v>-2.4110324058219899</v>
      </c>
      <c r="L38" s="4">
        <v>4.4170012365249303</v>
      </c>
      <c r="M38" s="4" t="s">
        <v>95</v>
      </c>
      <c r="N38" s="4">
        <v>1.85926095521431</v>
      </c>
      <c r="O38" s="4">
        <v>-0.83233645113926003</v>
      </c>
      <c r="P38" s="4">
        <v>2.4114131001764001</v>
      </c>
      <c r="Q38" s="4" t="s">
        <v>94</v>
      </c>
      <c r="R38" s="4">
        <v>-1.402255979</v>
      </c>
      <c r="S38" s="4">
        <v>1.8924193600000001</v>
      </c>
      <c r="T38" s="4">
        <v>-0.99154618900000002</v>
      </c>
    </row>
    <row r="39" spans="1:20" x14ac:dyDescent="0.2">
      <c r="A39" s="4" t="s">
        <v>96</v>
      </c>
      <c r="B39" s="4">
        <v>3.0034927505454299</v>
      </c>
      <c r="C39" s="4">
        <v>0.50105141995154001</v>
      </c>
      <c r="D39" s="4">
        <v>-0.72038793005685997</v>
      </c>
      <c r="E39" s="4" t="s">
        <v>95</v>
      </c>
      <c r="F39" s="4">
        <v>3.25734670515026</v>
      </c>
      <c r="G39" s="4">
        <v>-0.40273222073401999</v>
      </c>
      <c r="H39" s="4">
        <v>1.3200460209967</v>
      </c>
      <c r="I39" s="4" t="s">
        <v>96</v>
      </c>
      <c r="J39" s="4">
        <v>2.0067128794773499</v>
      </c>
      <c r="K39" s="4">
        <v>-0.72788740238514005</v>
      </c>
      <c r="L39" s="4">
        <v>3.6044724551768699</v>
      </c>
      <c r="M39" s="4" t="s">
        <v>96</v>
      </c>
      <c r="N39" s="4">
        <v>2.31651344504618</v>
      </c>
      <c r="O39" s="4">
        <v>-1.3499744575778101</v>
      </c>
      <c r="P39" s="4">
        <v>3.2582118040889001</v>
      </c>
      <c r="Q39" s="4" t="s">
        <v>94</v>
      </c>
      <c r="R39" s="4">
        <v>3.1545750209999999</v>
      </c>
      <c r="S39" s="4">
        <v>2.1601183599999998</v>
      </c>
      <c r="T39" s="4">
        <v>-2.4657671890000001</v>
      </c>
    </row>
    <row r="40" spans="1:20" x14ac:dyDescent="0.2">
      <c r="A40" s="4" t="s">
        <v>96</v>
      </c>
      <c r="B40" s="4">
        <v>1.23158350726793</v>
      </c>
      <c r="C40" s="4">
        <v>0.48808552880754003</v>
      </c>
      <c r="D40" s="4">
        <v>-0.70199503215831005</v>
      </c>
      <c r="E40" s="4" t="s">
        <v>96</v>
      </c>
      <c r="F40" s="4">
        <v>1.19928591456704</v>
      </c>
      <c r="G40" s="4">
        <v>0.13584894391550001</v>
      </c>
      <c r="H40" s="4">
        <v>1.41678760706534</v>
      </c>
      <c r="I40" s="4" t="s">
        <v>95</v>
      </c>
      <c r="J40" s="4">
        <v>0.92710442289243</v>
      </c>
      <c r="K40" s="4">
        <v>-0.52794347000988995</v>
      </c>
      <c r="L40" s="4">
        <v>3.6225428460942801</v>
      </c>
      <c r="M40" s="4" t="s">
        <v>96</v>
      </c>
      <c r="N40" s="4">
        <v>1.69470585449388</v>
      </c>
      <c r="O40" s="4">
        <v>-1.56644334204212</v>
      </c>
      <c r="P40" s="4">
        <v>1.6049612099209101</v>
      </c>
      <c r="Q40" s="4" t="s">
        <v>95</v>
      </c>
      <c r="R40" s="4">
        <v>1.9023629870000001</v>
      </c>
      <c r="S40" s="4">
        <v>-2.6106208149999999</v>
      </c>
      <c r="T40" s="4">
        <v>5.528292049</v>
      </c>
    </row>
    <row r="41" spans="1:20" x14ac:dyDescent="0.2">
      <c r="A41" s="4" t="s">
        <v>96</v>
      </c>
      <c r="B41" s="4">
        <v>2.2275759064821399</v>
      </c>
      <c r="C41" s="4">
        <v>-9.0706776111070003E-2</v>
      </c>
      <c r="D41" s="4">
        <v>2.7028388127221099</v>
      </c>
      <c r="E41" s="4" t="s">
        <v>96</v>
      </c>
      <c r="F41" s="4">
        <v>1.3279893076707201</v>
      </c>
      <c r="G41" s="4">
        <v>1.29138937256896</v>
      </c>
      <c r="H41" s="4">
        <v>3.5739160340891498</v>
      </c>
      <c r="I41" s="4" t="s">
        <v>95</v>
      </c>
      <c r="J41" s="4">
        <v>0.5884367243584</v>
      </c>
      <c r="K41" s="4">
        <v>0.35115714151145</v>
      </c>
      <c r="L41" s="4">
        <v>2.43541887359916</v>
      </c>
      <c r="M41" s="4" t="s">
        <v>96</v>
      </c>
      <c r="N41" s="4">
        <v>2.30321342063066</v>
      </c>
      <c r="O41" s="4">
        <v>0.76588539841307002</v>
      </c>
      <c r="P41" s="4">
        <v>1.0554426620425601</v>
      </c>
      <c r="Q41" s="4" t="s">
        <v>96</v>
      </c>
      <c r="R41" s="4">
        <v>1.1497369930000001</v>
      </c>
      <c r="S41" s="4">
        <v>-2.2385045090000002</v>
      </c>
      <c r="T41" s="4">
        <v>6.2329088449999999</v>
      </c>
    </row>
    <row r="42" spans="1:20" x14ac:dyDescent="0.2">
      <c r="A42" s="4" t="s">
        <v>96</v>
      </c>
      <c r="B42" s="4">
        <v>2.8483537739901501</v>
      </c>
      <c r="C42" s="4">
        <v>-0.69984567181504997</v>
      </c>
      <c r="D42" s="4">
        <v>1.3346420948416899</v>
      </c>
      <c r="E42" s="4" t="s">
        <v>96</v>
      </c>
      <c r="F42" s="4">
        <v>3.0437620336335498</v>
      </c>
      <c r="G42" s="4">
        <v>0.87256837732283998</v>
      </c>
      <c r="H42" s="4">
        <v>3.7242814650061802</v>
      </c>
      <c r="I42" s="4" t="s">
        <v>97</v>
      </c>
      <c r="J42" s="4">
        <v>-0.51426831912569004</v>
      </c>
      <c r="K42" s="4">
        <v>0.85045839437727999</v>
      </c>
      <c r="L42" s="4">
        <v>2.2625318838280299</v>
      </c>
      <c r="M42" s="4" t="s">
        <v>95</v>
      </c>
      <c r="N42" s="4">
        <v>2.8105361912810798</v>
      </c>
      <c r="O42" s="4">
        <v>0.22419751586018</v>
      </c>
      <c r="P42" s="4">
        <v>1.87703668673381</v>
      </c>
      <c r="Q42" s="4" t="s">
        <v>96</v>
      </c>
      <c r="R42" s="4">
        <v>1.846346362</v>
      </c>
      <c r="S42" s="4">
        <v>-3.7046790949999999</v>
      </c>
      <c r="T42" s="4">
        <v>5.5268827969999998</v>
      </c>
    </row>
    <row r="43" spans="1:20" x14ac:dyDescent="0.2">
      <c r="A43" s="4" t="s">
        <v>96</v>
      </c>
      <c r="B43" s="4">
        <v>0.43326129156377002</v>
      </c>
      <c r="C43" s="4">
        <v>3.4479433914869202</v>
      </c>
      <c r="D43" s="4">
        <v>2.6180170616288501</v>
      </c>
      <c r="E43" s="4" t="s">
        <v>96</v>
      </c>
      <c r="F43" s="4">
        <v>1.42822303002173</v>
      </c>
      <c r="G43" s="4">
        <v>-2.0558200685696901</v>
      </c>
      <c r="H43" s="4">
        <v>2.3617894185752002</v>
      </c>
      <c r="I43" s="4" t="s">
        <v>97</v>
      </c>
      <c r="J43" s="4">
        <v>1.6269687041863199</v>
      </c>
      <c r="K43" s="4">
        <v>0.53004932844535002</v>
      </c>
      <c r="L43" s="4">
        <v>1.6164081171271301</v>
      </c>
      <c r="M43" s="4" t="s">
        <v>95</v>
      </c>
      <c r="N43" s="4">
        <v>3.17353865507333</v>
      </c>
      <c r="O43" s="4">
        <v>1.22732497172017</v>
      </c>
      <c r="P43" s="4">
        <v>2.9543162563982799</v>
      </c>
      <c r="Q43" s="4" t="s">
        <v>96</v>
      </c>
      <c r="R43" s="4">
        <v>4.0395918880000004</v>
      </c>
      <c r="S43" s="4">
        <v>-2.5539671240000001</v>
      </c>
      <c r="T43" s="4">
        <v>5.2138849169999997</v>
      </c>
    </row>
    <row r="44" spans="1:20" x14ac:dyDescent="0.2">
      <c r="A44" s="4" t="s">
        <v>93</v>
      </c>
      <c r="B44" s="4">
        <v>3.6869529477068701</v>
      </c>
      <c r="C44" s="4">
        <v>3.7106492873979602</v>
      </c>
      <c r="D44" s="4">
        <v>-0.35678081376271997</v>
      </c>
      <c r="E44" s="4" t="s">
        <v>96</v>
      </c>
      <c r="F44" s="4">
        <v>0.89984964778495002</v>
      </c>
      <c r="G44" s="4">
        <v>-1.0562609541904</v>
      </c>
      <c r="H44" s="4">
        <v>3.5264958267820501</v>
      </c>
      <c r="I44" s="4" t="s">
        <v>96</v>
      </c>
      <c r="J44" s="4">
        <v>1.2910564538867999</v>
      </c>
      <c r="K44" s="4">
        <v>0.93653455989427004</v>
      </c>
      <c r="L44" s="4">
        <v>0.74288204656840995</v>
      </c>
      <c r="M44" s="4" t="s">
        <v>97</v>
      </c>
      <c r="N44" s="4">
        <v>3.3364772196686099</v>
      </c>
      <c r="O44" s="4">
        <v>0.96722329418524999</v>
      </c>
      <c r="P44" s="4">
        <v>4.1273408994075602</v>
      </c>
      <c r="Q44" s="4" t="s">
        <v>95</v>
      </c>
      <c r="R44" s="4">
        <v>3.306924145</v>
      </c>
      <c r="S44" s="4">
        <v>-2.1511705769999998</v>
      </c>
      <c r="T44" s="4">
        <v>5.9238036860000003</v>
      </c>
    </row>
    <row r="45" spans="1:20" x14ac:dyDescent="0.2">
      <c r="A45" s="4" t="s">
        <v>94</v>
      </c>
      <c r="B45" s="4">
        <v>5.2355743149856897</v>
      </c>
      <c r="C45" s="4">
        <v>4.7065283399711104</v>
      </c>
      <c r="D45" s="4">
        <v>0.72088349424885001</v>
      </c>
      <c r="E45" s="4" t="s">
        <v>96</v>
      </c>
      <c r="F45" s="4">
        <v>3.8456533006562301</v>
      </c>
      <c r="G45" s="4">
        <v>-0.70327693456772999</v>
      </c>
      <c r="H45" s="4">
        <v>-0.44757112575098001</v>
      </c>
      <c r="I45" s="4" t="s">
        <v>98</v>
      </c>
      <c r="J45" s="4">
        <v>0.47507874432979003</v>
      </c>
      <c r="K45" s="4">
        <v>0.13125911873594001</v>
      </c>
      <c r="L45" s="4">
        <v>4.8507799198826396</v>
      </c>
      <c r="M45" s="4" t="s">
        <v>97</v>
      </c>
      <c r="N45" s="4">
        <v>3.3608162052778701</v>
      </c>
      <c r="O45" s="4">
        <v>2.4591942627268502</v>
      </c>
      <c r="P45" s="4">
        <v>2.4397165330847299</v>
      </c>
      <c r="Q45" s="4" t="s">
        <v>95</v>
      </c>
      <c r="R45" s="4">
        <v>3.4387524379999999</v>
      </c>
      <c r="S45" s="4">
        <v>-0.63970695200000005</v>
      </c>
      <c r="T45" s="4">
        <v>5.922767479</v>
      </c>
    </row>
    <row r="46" spans="1:20" x14ac:dyDescent="0.2">
      <c r="A46" s="4" t="s">
        <v>97</v>
      </c>
      <c r="B46" s="4">
        <v>5.2629703883948897</v>
      </c>
      <c r="C46" s="4">
        <v>7.38741987358088</v>
      </c>
      <c r="D46" s="4">
        <v>3.1253393940767</v>
      </c>
      <c r="E46" s="4" t="s">
        <v>94</v>
      </c>
      <c r="F46" s="4">
        <v>-2.84685913358549</v>
      </c>
      <c r="G46" s="4">
        <v>2.3052244131030699</v>
      </c>
      <c r="H46" s="4">
        <v>-1.71487315547763</v>
      </c>
      <c r="I46" s="4" t="s">
        <v>96</v>
      </c>
      <c r="J46" s="4">
        <v>0.74163859669818999</v>
      </c>
      <c r="K46" s="4">
        <v>-0.45940858763240999</v>
      </c>
      <c r="L46" s="4">
        <v>5.6371899571983803</v>
      </c>
      <c r="M46" s="4" t="s">
        <v>96</v>
      </c>
      <c r="N46" s="4">
        <v>3.6488580491470501</v>
      </c>
      <c r="O46" s="4">
        <v>3.04660903542247</v>
      </c>
      <c r="P46" s="4">
        <v>3.1670777229504199</v>
      </c>
      <c r="Q46" s="4" t="s">
        <v>97</v>
      </c>
      <c r="R46" s="4">
        <v>2.5329254209999998</v>
      </c>
      <c r="S46" s="4">
        <v>0.11565818</v>
      </c>
      <c r="T46" s="4">
        <v>5.5901697869999998</v>
      </c>
    </row>
    <row r="47" spans="1:20" x14ac:dyDescent="0.2">
      <c r="A47" s="4" t="s">
        <v>97</v>
      </c>
      <c r="B47" s="4">
        <v>3.3080978054784498</v>
      </c>
      <c r="C47" s="4">
        <v>6.3194489560153597</v>
      </c>
      <c r="D47" s="4">
        <v>3.4241293481024102</v>
      </c>
      <c r="E47" s="4" t="s">
        <v>97</v>
      </c>
      <c r="F47" s="4">
        <v>-0.62861104945574997</v>
      </c>
      <c r="G47" s="4">
        <v>-1.1826093976535299</v>
      </c>
      <c r="H47" s="4">
        <v>-6.5647715486659999E-2</v>
      </c>
      <c r="I47" s="4" t="s">
        <v>96</v>
      </c>
      <c r="J47" s="4">
        <v>0.99112515456793004</v>
      </c>
      <c r="K47" s="4">
        <v>1.0023403609800201</v>
      </c>
      <c r="L47" s="4">
        <v>4.9741967744589397</v>
      </c>
      <c r="M47" s="4" t="s">
        <v>98</v>
      </c>
      <c r="N47" s="4">
        <v>4.0602636267434598</v>
      </c>
      <c r="O47" s="4">
        <v>-0.41465433270027002</v>
      </c>
      <c r="P47" s="4">
        <v>1.4483446027643301</v>
      </c>
      <c r="Q47" s="4" t="s">
        <v>97</v>
      </c>
      <c r="R47" s="4">
        <v>4.6674084919999999</v>
      </c>
      <c r="S47" s="4">
        <v>-0.19701128600000001</v>
      </c>
      <c r="T47" s="4">
        <v>6.2915329130000002</v>
      </c>
    </row>
    <row r="48" spans="1:20" x14ac:dyDescent="0.2">
      <c r="A48" s="4" t="s">
        <v>98</v>
      </c>
      <c r="B48" s="4">
        <v>5.1145672658815204</v>
      </c>
      <c r="C48" s="4">
        <v>4.4553608315736897</v>
      </c>
      <c r="D48" s="4">
        <v>4.7946794895255396</v>
      </c>
      <c r="E48" s="4" t="s">
        <v>97</v>
      </c>
      <c r="F48" s="4">
        <v>-2.7639502610754798</v>
      </c>
      <c r="G48" s="4">
        <v>-0.58253834454873998</v>
      </c>
      <c r="H48" s="4">
        <v>0.33222799853936003</v>
      </c>
      <c r="I48" s="4" t="s">
        <v>95</v>
      </c>
      <c r="J48" s="4">
        <v>-2.6453646285102401</v>
      </c>
      <c r="K48" s="4">
        <v>-1.24934245448144</v>
      </c>
      <c r="L48" s="4">
        <v>-1.01342851809968</v>
      </c>
      <c r="M48" s="4" t="s">
        <v>96</v>
      </c>
      <c r="N48" s="4">
        <v>3.8197278837333699</v>
      </c>
      <c r="O48" s="4">
        <v>-1.10247565995675</v>
      </c>
      <c r="P48" s="4">
        <v>0.72961735206908995</v>
      </c>
      <c r="Q48" s="4" t="s">
        <v>96</v>
      </c>
      <c r="R48" s="4">
        <v>4.7266716329999996</v>
      </c>
      <c r="S48" s="4">
        <v>0.78178456799999996</v>
      </c>
      <c r="T48" s="4">
        <v>6.265994568</v>
      </c>
    </row>
    <row r="49" spans="1:20" x14ac:dyDescent="0.2">
      <c r="A49" s="4" t="s">
        <v>95</v>
      </c>
      <c r="B49" s="4">
        <v>5.3614001184706996</v>
      </c>
      <c r="C49" s="4">
        <v>5.0379245792878002</v>
      </c>
      <c r="D49" s="4">
        <v>3.4715907772326799</v>
      </c>
      <c r="E49" s="4" t="s">
        <v>98</v>
      </c>
      <c r="F49" s="4">
        <v>-1.93033014963257</v>
      </c>
      <c r="G49" s="4">
        <v>-1.6090131613104499</v>
      </c>
      <c r="H49" s="4">
        <v>-2.60077728525357</v>
      </c>
      <c r="I49" s="4" t="s">
        <v>96</v>
      </c>
      <c r="J49" s="4">
        <v>-3.2938210455049801</v>
      </c>
      <c r="K49" s="4">
        <v>-1.20633366406054</v>
      </c>
      <c r="L49" s="4">
        <v>-1.88972199353752</v>
      </c>
      <c r="M49" s="4" t="s">
        <v>96</v>
      </c>
      <c r="N49" s="4">
        <v>4.6396199931171296</v>
      </c>
      <c r="O49" s="4">
        <v>0.27938578236331002</v>
      </c>
      <c r="P49" s="4">
        <v>0.96948943502188001</v>
      </c>
      <c r="Q49" s="4" t="s">
        <v>98</v>
      </c>
      <c r="R49" s="4">
        <v>3.6263043019999999</v>
      </c>
      <c r="S49" s="4">
        <v>-2.620889746</v>
      </c>
      <c r="T49" s="4">
        <v>7.2733823600000003</v>
      </c>
    </row>
    <row r="50" spans="1:20" x14ac:dyDescent="0.2">
      <c r="A50" s="4" t="s">
        <v>95</v>
      </c>
      <c r="B50" s="4">
        <v>4.9315450728526402</v>
      </c>
      <c r="C50" s="4">
        <v>4.0444359706767399</v>
      </c>
      <c r="D50" s="4">
        <v>2.4028076847714801</v>
      </c>
      <c r="E50" s="4" t="s">
        <v>95</v>
      </c>
      <c r="F50" s="4">
        <v>-1.8185547564758799</v>
      </c>
      <c r="G50" s="4">
        <v>-0.31476099615230002</v>
      </c>
      <c r="H50" s="4">
        <v>-1.9055300929252501</v>
      </c>
      <c r="I50" s="4" t="s">
        <v>96</v>
      </c>
      <c r="J50" s="4">
        <v>-2.9781807151277002</v>
      </c>
      <c r="K50" s="4">
        <v>-2.07373048924154</v>
      </c>
      <c r="L50" s="4">
        <v>-0.37584150050198001</v>
      </c>
      <c r="M50" s="4" t="s">
        <v>95</v>
      </c>
      <c r="N50" s="4">
        <v>1.18390721604658</v>
      </c>
      <c r="O50" s="4">
        <v>3.4758259176264099</v>
      </c>
      <c r="P50" s="4">
        <v>-0.20451662572099999</v>
      </c>
      <c r="Q50" s="4" t="s">
        <v>96</v>
      </c>
      <c r="R50" s="4">
        <v>3.553788028</v>
      </c>
      <c r="S50" s="4">
        <v>-3.637071717</v>
      </c>
      <c r="T50" s="4">
        <v>7.3070430630000001</v>
      </c>
    </row>
    <row r="51" spans="1:20" x14ac:dyDescent="0.2">
      <c r="A51" s="4" t="s">
        <v>95</v>
      </c>
      <c r="B51" s="4">
        <v>4.5173963624004898</v>
      </c>
      <c r="C51" s="4">
        <v>6.2898352908112303</v>
      </c>
      <c r="D51" s="4">
        <v>3.3372138135975602</v>
      </c>
      <c r="E51" s="4" t="s">
        <v>95</v>
      </c>
      <c r="F51" s="4">
        <v>-2.98528950472621</v>
      </c>
      <c r="G51" s="4">
        <v>0.57313819262906995</v>
      </c>
      <c r="H51" s="4">
        <v>-2.2937604656042399</v>
      </c>
      <c r="I51" s="4" t="s">
        <v>96</v>
      </c>
      <c r="J51" s="4">
        <v>-1.8926484236760599</v>
      </c>
      <c r="K51" s="4">
        <v>0.10255332279829001</v>
      </c>
      <c r="L51" s="4">
        <v>0.47517445832158001</v>
      </c>
      <c r="M51" s="4" t="s">
        <v>96</v>
      </c>
      <c r="N51" s="4">
        <v>1.1301079502993701</v>
      </c>
      <c r="O51" s="4">
        <v>4.5099385772193203</v>
      </c>
      <c r="P51" s="4">
        <v>-0.55454560597687996</v>
      </c>
      <c r="Q51" s="4" t="s">
        <v>96</v>
      </c>
      <c r="R51" s="4">
        <v>4.5974501959999996</v>
      </c>
      <c r="S51" s="4">
        <v>-2.3992754590000001</v>
      </c>
      <c r="T51" s="4">
        <v>7.4907593869999998</v>
      </c>
    </row>
    <row r="52" spans="1:20" x14ac:dyDescent="0.2">
      <c r="A52" s="4" t="s">
        <v>96</v>
      </c>
      <c r="B52" s="4">
        <v>6.4095036835931403</v>
      </c>
      <c r="C52" s="4">
        <v>5.31292460424726</v>
      </c>
      <c r="D52" s="4">
        <v>3.3059207770722598</v>
      </c>
      <c r="E52" s="4" t="s">
        <v>95</v>
      </c>
      <c r="F52" s="4">
        <v>-1.8171963204864501</v>
      </c>
      <c r="G52" s="4">
        <v>-0.65256443924211005</v>
      </c>
      <c r="H52" s="4">
        <v>-0.42764959036939998</v>
      </c>
      <c r="I52" s="4" t="s">
        <v>95</v>
      </c>
      <c r="J52" s="4">
        <v>-2.7441266074314101</v>
      </c>
      <c r="K52" s="4">
        <v>4.2835900642849999E-2</v>
      </c>
      <c r="L52" s="4">
        <v>-0.22546140955284999</v>
      </c>
      <c r="M52" s="4" t="s">
        <v>96</v>
      </c>
      <c r="N52" s="4">
        <v>1.5919189515746499</v>
      </c>
      <c r="O52" s="4">
        <v>3.4707923056517398</v>
      </c>
      <c r="P52" s="4">
        <v>0.81262842373709998</v>
      </c>
      <c r="Q52" s="4" t="s">
        <v>95</v>
      </c>
      <c r="R52" s="4">
        <v>-2.9988000069999998</v>
      </c>
      <c r="S52" s="4">
        <v>-2.8198291090000001</v>
      </c>
      <c r="T52" s="4">
        <v>-0.67574990300000004</v>
      </c>
    </row>
    <row r="53" spans="1:20" x14ac:dyDescent="0.2">
      <c r="A53" s="4" t="s">
        <v>96</v>
      </c>
      <c r="B53" s="4">
        <v>5.4998432530331103</v>
      </c>
      <c r="C53" s="4">
        <v>3.1187741621637501</v>
      </c>
      <c r="D53" s="4">
        <v>2.5459230306828702</v>
      </c>
      <c r="E53" s="4" t="s">
        <v>96</v>
      </c>
      <c r="F53" s="4">
        <v>-0.87215956532324002</v>
      </c>
      <c r="G53" s="4">
        <v>0.21270953927361</v>
      </c>
      <c r="H53" s="4">
        <v>-2.1253859469243501</v>
      </c>
      <c r="I53" s="4" t="s">
        <v>95</v>
      </c>
      <c r="J53" s="4">
        <v>-2.6799807350434102</v>
      </c>
      <c r="K53" s="4">
        <v>1.25534814433146</v>
      </c>
      <c r="L53" s="4">
        <v>-1.1318461417894099</v>
      </c>
      <c r="M53" s="4" t="s">
        <v>96</v>
      </c>
      <c r="N53" s="4">
        <v>1.9733378659987899</v>
      </c>
      <c r="O53" s="4">
        <v>1.59630941228571</v>
      </c>
      <c r="P53" s="4">
        <v>-0.88511444279903995</v>
      </c>
      <c r="Q53" s="4" t="s">
        <v>96</v>
      </c>
      <c r="R53" s="4">
        <v>-2.959513566</v>
      </c>
      <c r="S53" s="4">
        <v>-2.5257931419999999</v>
      </c>
      <c r="T53" s="4">
        <v>-1.7309279390000001</v>
      </c>
    </row>
    <row r="54" spans="1:20" x14ac:dyDescent="0.2">
      <c r="A54" s="4" t="s">
        <v>96</v>
      </c>
      <c r="B54" s="4">
        <v>3.8714021476945701</v>
      </c>
      <c r="C54" s="4">
        <v>3.8174591786327698</v>
      </c>
      <c r="D54" s="4">
        <v>2.5428881190125301</v>
      </c>
      <c r="E54" s="4" t="s">
        <v>96</v>
      </c>
      <c r="F54" s="4">
        <v>-3.04344209012595</v>
      </c>
      <c r="G54" s="4">
        <v>0.57503338280880001</v>
      </c>
      <c r="H54" s="4">
        <v>-3.3873473970829302</v>
      </c>
      <c r="I54" s="4" t="s">
        <v>97</v>
      </c>
      <c r="J54" s="4">
        <v>-2.81440352449266</v>
      </c>
      <c r="K54" s="4">
        <v>1.2586251984003101</v>
      </c>
      <c r="L54" s="4">
        <v>-2.33841166732687</v>
      </c>
      <c r="M54" s="4" t="s">
        <v>95</v>
      </c>
      <c r="N54" s="4">
        <v>2.11076555656732</v>
      </c>
      <c r="O54" s="4">
        <v>2.67859314950439</v>
      </c>
      <c r="P54" s="4">
        <v>-1.1009119762173301</v>
      </c>
      <c r="Q54" s="4" t="s">
        <v>96</v>
      </c>
      <c r="R54" s="4">
        <v>-2.8133366139999998</v>
      </c>
      <c r="S54" s="4">
        <v>-3.8981955519999998</v>
      </c>
      <c r="T54" s="4">
        <v>-0.62252853699999999</v>
      </c>
    </row>
    <row r="55" spans="1:20" x14ac:dyDescent="0.2">
      <c r="A55" s="4" t="s">
        <v>96</v>
      </c>
      <c r="B55" s="4">
        <v>5.5223848231314099</v>
      </c>
      <c r="C55" s="4">
        <v>5.0548706603079596</v>
      </c>
      <c r="D55" s="4">
        <v>5.5102083460419697</v>
      </c>
      <c r="E55" s="4" t="s">
        <v>96</v>
      </c>
      <c r="F55" s="4">
        <v>-3.9091319075075601</v>
      </c>
      <c r="G55" s="4">
        <v>0.12639287196376001</v>
      </c>
      <c r="H55" s="4">
        <v>-1.9159889837388799</v>
      </c>
      <c r="I55" s="4" t="s">
        <v>97</v>
      </c>
      <c r="J55" s="4">
        <v>-2.53616227237521</v>
      </c>
      <c r="K55" s="4">
        <v>2.3800686238945898</v>
      </c>
      <c r="L55" s="4">
        <v>-0.4058346586298</v>
      </c>
      <c r="M55" s="4" t="s">
        <v>95</v>
      </c>
      <c r="N55" s="4">
        <v>1.7871449865994899</v>
      </c>
      <c r="O55" s="4">
        <v>2.8977527739702</v>
      </c>
      <c r="P55" s="4">
        <v>-2.565516192884</v>
      </c>
      <c r="Q55" s="4" t="s">
        <v>96</v>
      </c>
      <c r="R55" s="4">
        <v>-4.3737511539999998</v>
      </c>
      <c r="S55" s="4">
        <v>-2.8059373619999999</v>
      </c>
      <c r="T55" s="4">
        <v>0.99132094800000004</v>
      </c>
    </row>
    <row r="56" spans="1:20" x14ac:dyDescent="0.2">
      <c r="A56" s="4" t="s">
        <v>96</v>
      </c>
      <c r="B56" s="4">
        <v>5.6288295302890798</v>
      </c>
      <c r="C56" s="4">
        <v>3.5775376279639302</v>
      </c>
      <c r="D56" s="4">
        <v>4.84773817823553</v>
      </c>
      <c r="E56" s="4" t="s">
        <v>96</v>
      </c>
      <c r="F56" s="4">
        <v>-1.0950659175828401</v>
      </c>
      <c r="G56" s="4">
        <v>-2.1630340139703601</v>
      </c>
      <c r="H56" s="4">
        <v>-2.4037687396343799</v>
      </c>
      <c r="I56" s="4" t="s">
        <v>96</v>
      </c>
      <c r="J56" s="4">
        <v>-2.5406300216753301</v>
      </c>
      <c r="K56" s="4">
        <v>3.13385795706894</v>
      </c>
      <c r="L56" s="4">
        <v>-1.0273047700946301</v>
      </c>
      <c r="M56" s="4" t="s">
        <v>97</v>
      </c>
      <c r="N56" s="4">
        <v>1.1224392440595601</v>
      </c>
      <c r="O56" s="4">
        <v>3.8049195772817801</v>
      </c>
      <c r="P56" s="4">
        <v>-3.0219454330553899</v>
      </c>
      <c r="Q56" s="4" t="s">
        <v>95</v>
      </c>
      <c r="R56" s="4">
        <v>-4.3567110270000002</v>
      </c>
      <c r="S56" s="4">
        <v>-2.4832095029999999</v>
      </c>
      <c r="T56" s="4">
        <v>-5.6814587999999999E-2</v>
      </c>
    </row>
    <row r="57" spans="1:20" x14ac:dyDescent="0.2">
      <c r="A57" s="4" t="s">
        <v>96</v>
      </c>
      <c r="B57" s="4">
        <v>4.6507128479314401</v>
      </c>
      <c r="C57" s="4">
        <v>8.1435794959596599</v>
      </c>
      <c r="D57" s="4">
        <v>3.0460121165684</v>
      </c>
      <c r="E57" s="4" t="s">
        <v>96</v>
      </c>
      <c r="F57" s="4">
        <v>-1.9061477507869999</v>
      </c>
      <c r="G57" s="4">
        <v>-1.42504961971113</v>
      </c>
      <c r="H57" s="4">
        <v>-3.6040749503827798</v>
      </c>
      <c r="I57" s="4" t="s">
        <v>98</v>
      </c>
      <c r="J57" s="4">
        <v>-4.0508667810924299</v>
      </c>
      <c r="K57" s="4">
        <v>0.10628095952933</v>
      </c>
      <c r="L57" s="4">
        <v>0.44739209631214</v>
      </c>
      <c r="M57" s="4" t="s">
        <v>97</v>
      </c>
      <c r="N57" s="4">
        <v>2.4012338774022202</v>
      </c>
      <c r="O57" s="4">
        <v>1.9757887200900299</v>
      </c>
      <c r="P57" s="4">
        <v>-3.33072298305897</v>
      </c>
      <c r="Q57" s="4" t="s">
        <v>95</v>
      </c>
      <c r="R57" s="4">
        <v>-4.6510971840000002</v>
      </c>
      <c r="S57" s="4">
        <v>-0.99524462599999997</v>
      </c>
      <c r="T57" s="4">
        <v>-9.1446586999999996E-2</v>
      </c>
    </row>
    <row r="58" spans="1:20" x14ac:dyDescent="0.2">
      <c r="A58" s="4"/>
      <c r="B58" s="4"/>
      <c r="C58" s="4"/>
      <c r="D58" s="4"/>
      <c r="E58" s="4" t="s">
        <v>96</v>
      </c>
      <c r="F58" s="4">
        <v>-0.68620871680692996</v>
      </c>
      <c r="G58" s="4">
        <v>-1.41609041623839</v>
      </c>
      <c r="H58" s="4">
        <v>0.88577112081568998</v>
      </c>
      <c r="I58" s="4" t="s">
        <v>96</v>
      </c>
      <c r="J58" s="4">
        <v>-4.0943286345388703</v>
      </c>
      <c r="K58" s="4">
        <v>-0.66580432616350005</v>
      </c>
      <c r="L58" s="4">
        <v>1.11307554977864</v>
      </c>
      <c r="M58" s="4" t="s">
        <v>96</v>
      </c>
      <c r="N58" s="4">
        <v>2.2126537416060801</v>
      </c>
      <c r="O58" s="4">
        <v>2.1914623956988502</v>
      </c>
      <c r="P58" s="4">
        <v>-4.2650396555994297</v>
      </c>
      <c r="Q58" s="4" t="s">
        <v>97</v>
      </c>
      <c r="R58" s="4">
        <v>-3.861656467</v>
      </c>
      <c r="S58" s="4">
        <v>-0.16176364700000001</v>
      </c>
      <c r="T58" s="4">
        <v>-0.52018088900000004</v>
      </c>
    </row>
    <row r="59" spans="1:20" x14ac:dyDescent="0.2">
      <c r="A59" s="4"/>
      <c r="B59" s="4"/>
      <c r="C59" s="4"/>
      <c r="D59" s="4"/>
      <c r="E59" s="4"/>
      <c r="F59" s="4"/>
      <c r="G59" s="4"/>
      <c r="H59" s="4"/>
      <c r="I59" s="4" t="s">
        <v>96</v>
      </c>
      <c r="J59" s="4">
        <v>-4.0888265441828002</v>
      </c>
      <c r="K59" s="4">
        <v>0.95540242065754999</v>
      </c>
      <c r="L59" s="4">
        <v>1.01102766040794</v>
      </c>
      <c r="M59" s="4" t="s">
        <v>98</v>
      </c>
      <c r="N59" s="4">
        <v>3.4921583074888201</v>
      </c>
      <c r="O59" s="4">
        <v>3.1257425875624198</v>
      </c>
      <c r="P59" s="4">
        <v>-0.89188036486457001</v>
      </c>
      <c r="Q59" s="4" t="s">
        <v>97</v>
      </c>
      <c r="R59" s="4">
        <v>-5.8593859229999996</v>
      </c>
      <c r="S59" s="4">
        <v>-0.66387955700000001</v>
      </c>
      <c r="T59" s="4">
        <v>0.42989649899999999</v>
      </c>
    </row>
    <row r="60" spans="1:20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 t="s">
        <v>96</v>
      </c>
      <c r="N60" s="4">
        <v>3.7332624695909198</v>
      </c>
      <c r="O60" s="4">
        <v>2.9185563897611702</v>
      </c>
      <c r="P60" s="4">
        <v>8.0876952464610005E-2</v>
      </c>
      <c r="Q60" s="4" t="s">
        <v>96</v>
      </c>
      <c r="R60" s="4">
        <v>-6.0142957040000002</v>
      </c>
      <c r="S60" s="4">
        <v>0.30448728600000002</v>
      </c>
      <c r="T60" s="4">
        <v>0.408118806</v>
      </c>
    </row>
    <row r="61" spans="1:20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 t="s">
        <v>96</v>
      </c>
      <c r="N61" s="4">
        <v>4.1165872820994398</v>
      </c>
      <c r="O61" s="4">
        <v>2.5492889887013601</v>
      </c>
      <c r="P61" s="4">
        <v>-1.45926307731849</v>
      </c>
      <c r="Q61" s="4" t="s">
        <v>98</v>
      </c>
      <c r="R61" s="4">
        <v>-5.4250820050000002</v>
      </c>
      <c r="S61" s="4">
        <v>-3.161505247</v>
      </c>
      <c r="T61" s="4">
        <v>-0.79336106900000003</v>
      </c>
    </row>
    <row r="62" spans="1:20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 t="s">
        <v>95</v>
      </c>
      <c r="N62" s="4">
        <v>-2.4968014389303801</v>
      </c>
      <c r="O62" s="4">
        <v>-0.26115903917261002</v>
      </c>
      <c r="P62" s="4">
        <v>-3.6432461023093698</v>
      </c>
      <c r="Q62" s="4" t="s">
        <v>96</v>
      </c>
      <c r="R62" s="4">
        <v>-5.2608883830000002</v>
      </c>
      <c r="S62" s="4">
        <v>-4.1674668800000001</v>
      </c>
      <c r="T62" s="4">
        <v>-0.78340632099999996</v>
      </c>
    </row>
    <row r="63" spans="1:20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 t="s">
        <v>96</v>
      </c>
      <c r="N63" s="4">
        <v>-2.43733077183595</v>
      </c>
      <c r="O63" s="4">
        <v>0.34777066004048002</v>
      </c>
      <c r="P63" s="4">
        <v>-4.5472839843019699</v>
      </c>
      <c r="Q63" s="4" t="s">
        <v>96</v>
      </c>
      <c r="R63" s="4">
        <v>-6.3142273749999998</v>
      </c>
      <c r="S63" s="4">
        <v>-3.0153130159999999</v>
      </c>
      <c r="T63" s="4">
        <v>-0.31635126699999999</v>
      </c>
    </row>
    <row r="64" spans="1:20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 t="s">
        <v>96</v>
      </c>
      <c r="N64" s="4">
        <v>-2.8826307071599602</v>
      </c>
      <c r="O64" s="4">
        <v>-1.2463756131772601</v>
      </c>
      <c r="P64" s="4">
        <v>-3.9150365036630301</v>
      </c>
      <c r="Q64" s="4" t="s">
        <v>95</v>
      </c>
      <c r="R64" s="4">
        <v>-3.0579662380000001</v>
      </c>
      <c r="S64" s="4">
        <v>2.647873932</v>
      </c>
      <c r="T64" s="4">
        <v>-1.009207604</v>
      </c>
    </row>
    <row r="65" spans="1:20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 t="s">
        <v>96</v>
      </c>
      <c r="N65" s="4">
        <v>-3.3351695535778201</v>
      </c>
      <c r="O65" s="4">
        <v>-8.9799763841919997E-2</v>
      </c>
      <c r="P65" s="4">
        <v>-1.66858647218602</v>
      </c>
      <c r="Q65" s="4" t="s">
        <v>96</v>
      </c>
      <c r="R65" s="4">
        <v>-3.1408405770000001</v>
      </c>
      <c r="S65" s="4">
        <v>3.245033474</v>
      </c>
      <c r="T65" s="4">
        <v>-1.9245947269999999</v>
      </c>
    </row>
    <row r="66" spans="1:20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 t="s">
        <v>95</v>
      </c>
      <c r="N66" s="4">
        <v>-3.4581118780592899</v>
      </c>
      <c r="O66" s="4">
        <v>0.37854081227870001</v>
      </c>
      <c r="P66" s="4">
        <v>-2.66027523916578</v>
      </c>
      <c r="Q66" s="4" t="s">
        <v>96</v>
      </c>
      <c r="R66" s="4">
        <v>-3.7939416110000002</v>
      </c>
      <c r="S66" s="4">
        <v>1.83875681</v>
      </c>
      <c r="T66" s="4">
        <v>-1.070633197</v>
      </c>
    </row>
    <row r="67" spans="1:20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 t="s">
        <v>95</v>
      </c>
      <c r="N67" s="4">
        <v>-3.2013046549517599</v>
      </c>
      <c r="O67" s="4">
        <v>1.86704173303251</v>
      </c>
      <c r="P67" s="4">
        <v>-2.5181959202937598</v>
      </c>
      <c r="Q67" s="4" t="s">
        <v>96</v>
      </c>
      <c r="R67" s="4">
        <v>-3.2405684620000001</v>
      </c>
      <c r="S67" s="4">
        <v>2.8754390120000002</v>
      </c>
      <c r="T67" s="4">
        <v>1.131978849</v>
      </c>
    </row>
    <row r="68" spans="1:20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 t="s">
        <v>97</v>
      </c>
      <c r="N68" s="4">
        <v>-2.6762839331174</v>
      </c>
      <c r="O68" s="4">
        <v>2.5812018568801598</v>
      </c>
      <c r="P68" s="4">
        <v>-3.3482878564825298</v>
      </c>
      <c r="Q68" s="4" t="s">
        <v>95</v>
      </c>
      <c r="R68" s="4">
        <v>-3.3102816609999999</v>
      </c>
      <c r="S68" s="4">
        <v>3.5021410749999999</v>
      </c>
      <c r="T68" s="4">
        <v>0.23452894299999999</v>
      </c>
    </row>
    <row r="69" spans="1:20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 t="s">
        <v>97</v>
      </c>
      <c r="N69" s="4">
        <v>-3.7361315625426199</v>
      </c>
      <c r="O69" s="4">
        <v>2.3344836940601699</v>
      </c>
      <c r="P69" s="4">
        <v>-1.3748814958128399</v>
      </c>
      <c r="Q69" s="4" t="s">
        <v>95</v>
      </c>
      <c r="R69" s="4">
        <v>-2.30267073</v>
      </c>
      <c r="S69" s="4">
        <v>4.6280086819999999</v>
      </c>
      <c r="T69" s="4">
        <v>0.37253040700000001</v>
      </c>
    </row>
    <row r="70" spans="1:20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 t="s">
        <v>96</v>
      </c>
      <c r="N70" s="4">
        <v>-3.5814333786697699</v>
      </c>
      <c r="O70" s="4">
        <v>3.2991825119970302</v>
      </c>
      <c r="P70" s="4">
        <v>-1.3462459754921099</v>
      </c>
      <c r="Q70" s="4" t="s">
        <v>97</v>
      </c>
      <c r="R70" s="4">
        <v>-1.3661924999999999</v>
      </c>
      <c r="S70" s="4">
        <v>4.7929541149999997</v>
      </c>
      <c r="T70" s="4">
        <v>-0.40046494900000001</v>
      </c>
    </row>
    <row r="71" spans="1:20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 t="s">
        <v>98</v>
      </c>
      <c r="N71" s="4">
        <v>-4.8282944361388402</v>
      </c>
      <c r="O71" s="4">
        <v>0.26829557087993999</v>
      </c>
      <c r="P71" s="4">
        <v>-3.18574293955173</v>
      </c>
      <c r="Q71" s="4" t="s">
        <v>97</v>
      </c>
      <c r="R71" s="4">
        <v>-2.511420717</v>
      </c>
      <c r="S71" s="4">
        <v>5.4200497050000003</v>
      </c>
      <c r="T71" s="4">
        <v>1.454499703</v>
      </c>
    </row>
    <row r="72" spans="1:20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 t="s">
        <v>96</v>
      </c>
      <c r="N72" s="4">
        <v>-5.0596635553258</v>
      </c>
      <c r="O72" s="4">
        <v>-0.72187611067183</v>
      </c>
      <c r="P72" s="4">
        <v>-3.2486073109152498</v>
      </c>
      <c r="Q72" s="4" t="s">
        <v>96</v>
      </c>
      <c r="R72" s="4">
        <v>-1.836126009</v>
      </c>
      <c r="S72" s="4">
        <v>6.1279476749999997</v>
      </c>
      <c r="T72" s="4">
        <v>1.525655669</v>
      </c>
    </row>
    <row r="73" spans="1:20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 t="s">
        <v>96</v>
      </c>
      <c r="N73" s="4">
        <v>-5.4776234875187697</v>
      </c>
      <c r="O73" s="4">
        <v>0.65894070994410003</v>
      </c>
      <c r="P73" s="4">
        <v>-2.5032783185815801</v>
      </c>
      <c r="Q73" s="4" t="s">
        <v>98</v>
      </c>
      <c r="R73" s="4">
        <v>-4.6415995480000003</v>
      </c>
      <c r="S73" s="4">
        <v>4.107728582</v>
      </c>
      <c r="T73" s="4">
        <v>0.16482358999999999</v>
      </c>
    </row>
    <row r="74" spans="1:20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3" t="s">
        <v>96</v>
      </c>
      <c r="R74" s="4">
        <v>-5.3454178829999996</v>
      </c>
      <c r="S74" s="4">
        <v>3.375478373</v>
      </c>
      <c r="T74" s="4">
        <v>7.8412751000000003E-2</v>
      </c>
    </row>
    <row r="75" spans="1:20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3" t="s">
        <v>96</v>
      </c>
      <c r="R75" s="4">
        <v>-4.842545168</v>
      </c>
      <c r="S75" s="4">
        <v>4.5913719820000001</v>
      </c>
      <c r="T75" s="4">
        <v>1.039580658</v>
      </c>
    </row>
    <row r="76" spans="1:20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3" t="s">
        <v>95</v>
      </c>
      <c r="R76" s="4">
        <v>4.4028978160000003</v>
      </c>
      <c r="S76" s="4">
        <v>2.790840105</v>
      </c>
      <c r="T76" s="4">
        <v>-3.6303616590000001</v>
      </c>
    </row>
    <row r="77" spans="1:20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3" t="s">
        <v>96</v>
      </c>
      <c r="R77" s="4">
        <v>5.1265926000000004</v>
      </c>
      <c r="S77" s="4">
        <v>3.379496939</v>
      </c>
      <c r="T77" s="4">
        <v>-3.0549050979999999</v>
      </c>
    </row>
    <row r="78" spans="1:20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3" t="s">
        <v>96</v>
      </c>
      <c r="R78" s="4">
        <v>4.9327325499999999</v>
      </c>
      <c r="S78" s="4">
        <v>1.9293816500000001</v>
      </c>
      <c r="T78" s="4">
        <v>-4.0513935520000004</v>
      </c>
    </row>
    <row r="79" spans="1:20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3" t="s">
        <v>96</v>
      </c>
      <c r="R79" s="4">
        <v>3.0698386790000001</v>
      </c>
      <c r="S79" s="4">
        <v>3.0059458989999999</v>
      </c>
      <c r="T79" s="4">
        <v>-5.3175165700000004</v>
      </c>
    </row>
    <row r="80" spans="1:20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3" t="s">
        <v>95</v>
      </c>
      <c r="R80" s="4">
        <v>3.7732580630000001</v>
      </c>
      <c r="S80" s="4">
        <v>3.6250531430000001</v>
      </c>
      <c r="T80" s="4">
        <v>-4.7474822469999998</v>
      </c>
    </row>
    <row r="81" spans="1:20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3" t="s">
        <v>95</v>
      </c>
      <c r="R81" s="4">
        <v>3.0116632860000001</v>
      </c>
      <c r="S81" s="4">
        <v>4.8225731569999999</v>
      </c>
      <c r="T81" s="4">
        <v>-4.2109924779999997</v>
      </c>
    </row>
    <row r="82" spans="1:20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3" t="s">
        <v>97</v>
      </c>
      <c r="R82" s="4">
        <v>2.8778642350000001</v>
      </c>
      <c r="S82" s="4">
        <v>5.0558223010000001</v>
      </c>
      <c r="T82" s="4">
        <v>-3.0154118900000002</v>
      </c>
    </row>
    <row r="83" spans="1:20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3" t="s">
        <v>97</v>
      </c>
      <c r="R83" s="4">
        <v>2.4588071579999999</v>
      </c>
      <c r="S83" s="4">
        <v>5.5978302419999997</v>
      </c>
      <c r="T83" s="4">
        <v>-5.1778893970000004</v>
      </c>
    </row>
    <row r="84" spans="1:20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3" t="s">
        <v>96</v>
      </c>
      <c r="R84" s="4">
        <v>1.9605808330000001</v>
      </c>
      <c r="S84" s="4">
        <v>6.3538605390000003</v>
      </c>
      <c r="T84" s="4">
        <v>-4.8005376100000001</v>
      </c>
    </row>
    <row r="85" spans="1:20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3" t="s">
        <v>98</v>
      </c>
      <c r="R85" s="4">
        <v>4.815196984</v>
      </c>
      <c r="S85" s="4">
        <v>4.1303071449999997</v>
      </c>
      <c r="T85" s="4">
        <v>-5.6436318209999996</v>
      </c>
    </row>
    <row r="86" spans="1:20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3" t="s">
        <v>96</v>
      </c>
      <c r="R86" s="4">
        <v>5.3432191170000003</v>
      </c>
      <c r="S86" s="4">
        <v>3.347866636</v>
      </c>
      <c r="T86" s="4">
        <v>-6.0283355079999996</v>
      </c>
    </row>
    <row r="87" spans="1:20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3" t="s">
        <v>96</v>
      </c>
      <c r="R87" s="4">
        <v>4.3829580049999999</v>
      </c>
      <c r="S87" s="4">
        <v>4.5984282920000004</v>
      </c>
      <c r="T87" s="4">
        <v>-6.439572815</v>
      </c>
    </row>
  </sheetData>
  <mergeCells count="10">
    <mergeCell ref="A30:D30"/>
    <mergeCell ref="E30:H30"/>
    <mergeCell ref="I30:L30"/>
    <mergeCell ref="M30:P30"/>
    <mergeCell ref="Q30:T30"/>
    <mergeCell ref="A1:D1"/>
    <mergeCell ref="E1:H1"/>
    <mergeCell ref="I1:L1"/>
    <mergeCell ref="M1:P1"/>
    <mergeCell ref="Q1:T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1CD6B-CA12-5042-882C-E43FEA46F967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58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SCH3</vt:lpstr>
      <vt:lpstr>Cys</vt:lpstr>
      <vt:lpstr>vac_coords</vt:lpstr>
      <vt:lpstr>wat_coords</vt:lpstr>
      <vt:lpstr>benchmark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Ivan Andreev</dc:creator>
  <dc:description/>
  <cp:lastModifiedBy>Ivan Andreev</cp:lastModifiedBy>
  <cp:revision>36</cp:revision>
  <dcterms:created xsi:type="dcterms:W3CDTF">2026-03-17T14:41:38Z</dcterms:created>
  <dcterms:modified xsi:type="dcterms:W3CDTF">2026-04-22T14:38:07Z</dcterms:modified>
  <dc:language>ru-RU</dc:language>
</cp:coreProperties>
</file>